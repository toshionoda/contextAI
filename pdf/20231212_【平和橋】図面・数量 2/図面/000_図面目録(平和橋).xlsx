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c\LC作業\2023.06.15_塩崎・平和橋\①作業中\01当前成果\231207_【平和橋】図面・数量\図面\"/>
    </mc:Choice>
  </mc:AlternateContent>
  <xr:revisionPtr revIDLastSave="0" documentId="13_ncr:1_{846CA608-9D31-4E1B-BC7D-BDB7AFDFFFDA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図面目録(土木施設)" sheetId="19" r:id="rId1"/>
    <sheet name="図面目録(機電設備)" sheetId="20" r:id="rId2"/>
    <sheet name="図面目録(建築施設)" sheetId="21" r:id="rId3"/>
  </sheets>
  <definedNames>
    <definedName name="_xlnm.Print_Area" localSheetId="1">'図面目録(機電設備)'!$B$1:$L$38</definedName>
    <definedName name="_xlnm.Print_Area" localSheetId="2">'図面目録(建築施設)'!$B$1:$L$38</definedName>
    <definedName name="_xlnm.Print_Area" localSheetId="0">'図面目録(土木施設)'!$B$1:$L$77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19" l="1"/>
  <c r="C66" i="19"/>
  <c r="C67" i="19"/>
  <c r="C68" i="19"/>
  <c r="C161" i="19"/>
  <c r="C162" i="19" s="1"/>
  <c r="C163" i="19" s="1"/>
  <c r="C164" i="19" s="1"/>
  <c r="C165" i="19" s="1"/>
  <c r="C166" i="19" s="1"/>
  <c r="C167" i="19" s="1"/>
  <c r="C168" i="19" s="1"/>
  <c r="C169" i="19" s="1"/>
  <c r="C170" i="19" s="1"/>
  <c r="C171" i="19" s="1"/>
  <c r="C172" i="19" s="1"/>
  <c r="C173" i="19" s="1"/>
  <c r="C174" i="19" s="1"/>
  <c r="C175" i="19" s="1"/>
  <c r="C176" i="19" s="1"/>
  <c r="C177" i="19" s="1"/>
  <c r="C178" i="19" s="1"/>
  <c r="C179" i="19" s="1"/>
  <c r="C180" i="19" s="1"/>
  <c r="K76" i="19" l="1"/>
  <c r="J76" i="19"/>
  <c r="J75" i="19"/>
  <c r="J74" i="19"/>
  <c r="J73" i="19"/>
  <c r="J72" i="19"/>
  <c r="J71" i="19"/>
  <c r="J70" i="19"/>
  <c r="J69" i="19"/>
  <c r="J68" i="19"/>
  <c r="I76" i="19"/>
  <c r="K76" i="20"/>
  <c r="J76" i="20"/>
  <c r="I76" i="20"/>
  <c r="J75" i="20"/>
  <c r="J74" i="20"/>
  <c r="J73" i="20"/>
  <c r="J72" i="20"/>
  <c r="J71" i="20"/>
  <c r="J70" i="20"/>
  <c r="J69" i="20"/>
  <c r="J68" i="20"/>
  <c r="K76" i="21"/>
  <c r="J76" i="21"/>
  <c r="J75" i="21"/>
  <c r="J74" i="21"/>
  <c r="J73" i="21"/>
  <c r="J72" i="21"/>
  <c r="J71" i="21"/>
  <c r="J70" i="21"/>
  <c r="J69" i="21"/>
  <c r="J68" i="21"/>
  <c r="C95" i="21" l="1"/>
  <c r="C96" i="21" s="1"/>
  <c r="C97" i="21" s="1"/>
  <c r="C98" i="21" s="1"/>
  <c r="C99" i="21" s="1"/>
  <c r="C100" i="21" s="1"/>
  <c r="C101" i="21" s="1"/>
  <c r="C102" i="21" s="1"/>
  <c r="C103" i="21" s="1"/>
  <c r="C104" i="21" s="1"/>
  <c r="C105" i="21" s="1"/>
  <c r="C106" i="21" s="1"/>
  <c r="C107" i="21" s="1"/>
  <c r="C108" i="21" s="1"/>
  <c r="C109" i="21" s="1"/>
  <c r="C110" i="21" s="1"/>
  <c r="C111" i="21" s="1"/>
  <c r="C112" i="21" s="1"/>
  <c r="C113" i="21" s="1"/>
  <c r="C114" i="21" s="1"/>
  <c r="C115" i="21" s="1"/>
  <c r="C116" i="21" s="1"/>
  <c r="C117" i="21" s="1"/>
  <c r="C118" i="21" s="1"/>
  <c r="C119" i="21" s="1"/>
  <c r="C120" i="21" s="1"/>
  <c r="C121" i="21" s="1"/>
  <c r="C122" i="21" s="1"/>
  <c r="C123" i="21" s="1"/>
  <c r="C124" i="21" s="1"/>
  <c r="C125" i="21" s="1"/>
  <c r="C126" i="21" s="1"/>
  <c r="C127" i="21" s="1"/>
  <c r="C128" i="21" s="1"/>
  <c r="C129" i="21" s="1"/>
  <c r="C130" i="21" s="1"/>
  <c r="C131" i="21" s="1"/>
  <c r="C132" i="21" s="1"/>
  <c r="C133" i="21" s="1"/>
  <c r="C134" i="21" s="1"/>
  <c r="C135" i="21" s="1"/>
  <c r="C136" i="21" s="1"/>
  <c r="C137" i="21" s="1"/>
  <c r="C138" i="21" s="1"/>
  <c r="C139" i="21" s="1"/>
  <c r="C140" i="21" s="1"/>
  <c r="C141" i="21" s="1"/>
  <c r="C142" i="21" s="1"/>
  <c r="C143" i="21" s="1"/>
  <c r="C144" i="21" s="1"/>
  <c r="C145" i="21" s="1"/>
  <c r="C146" i="21" s="1"/>
  <c r="C147" i="21" s="1"/>
  <c r="C148" i="21" s="1"/>
  <c r="C149" i="21" s="1"/>
  <c r="C150" i="21" s="1"/>
  <c r="C151" i="21" s="1"/>
  <c r="C152" i="21" s="1"/>
  <c r="C153" i="21" s="1"/>
  <c r="C154" i="21" s="1"/>
  <c r="C155" i="21" s="1"/>
  <c r="C156" i="21" s="1"/>
  <c r="C157" i="21" s="1"/>
  <c r="C158" i="21" s="1"/>
  <c r="C159" i="21" s="1"/>
  <c r="C160" i="21" s="1"/>
  <c r="C161" i="21" s="1"/>
  <c r="C162" i="21" s="1"/>
  <c r="C163" i="21" s="1"/>
  <c r="C164" i="21" s="1"/>
  <c r="C165" i="21" s="1"/>
  <c r="C166" i="21" s="1"/>
  <c r="C167" i="21" s="1"/>
  <c r="C168" i="21" s="1"/>
  <c r="C169" i="21" s="1"/>
  <c r="C170" i="21" s="1"/>
  <c r="C171" i="21" s="1"/>
  <c r="C172" i="21" s="1"/>
  <c r="C173" i="21" s="1"/>
  <c r="C174" i="21" s="1"/>
  <c r="C175" i="21" s="1"/>
  <c r="C176" i="21" s="1"/>
  <c r="C177" i="21" s="1"/>
  <c r="C178" i="21" s="1"/>
  <c r="C179" i="21" s="1"/>
  <c r="C180" i="21" s="1"/>
  <c r="C181" i="21" s="1"/>
  <c r="C182" i="21" s="1"/>
  <c r="C183" i="21" s="1"/>
  <c r="C184" i="21" s="1"/>
  <c r="C185" i="21" s="1"/>
  <c r="C186" i="21" s="1"/>
  <c r="C187" i="21" s="1"/>
  <c r="C188" i="21" s="1"/>
  <c r="C189" i="21" s="1"/>
  <c r="C190" i="21" s="1"/>
  <c r="C191" i="21" s="1"/>
  <c r="C192" i="21" s="1"/>
  <c r="C193" i="21" s="1"/>
  <c r="C194" i="21" s="1"/>
  <c r="C195" i="21" s="1"/>
  <c r="C196" i="21" s="1"/>
  <c r="C197" i="21" s="1"/>
  <c r="C198" i="21" s="1"/>
  <c r="C199" i="21" s="1"/>
  <c r="C200" i="21" s="1"/>
  <c r="C201" i="21" s="1"/>
  <c r="C202" i="21" s="1"/>
  <c r="C203" i="21" s="1"/>
  <c r="C204" i="21" s="1"/>
  <c r="C205" i="21" s="1"/>
  <c r="C206" i="21" s="1"/>
  <c r="C207" i="21" s="1"/>
  <c r="C208" i="21" s="1"/>
  <c r="C209" i="21" s="1"/>
  <c r="C210" i="21" s="1"/>
  <c r="C211" i="21" s="1"/>
  <c r="C212" i="21" s="1"/>
  <c r="C213" i="21" s="1"/>
  <c r="C214" i="21" s="1"/>
  <c r="C215" i="21" s="1"/>
  <c r="C216" i="21" s="1"/>
  <c r="C217" i="21" s="1"/>
  <c r="C218" i="21" s="1"/>
  <c r="C219" i="21" s="1"/>
  <c r="C220" i="21" s="1"/>
  <c r="C90" i="21"/>
  <c r="C91" i="21" s="1"/>
  <c r="C92" i="21" s="1"/>
  <c r="C93" i="21" s="1"/>
  <c r="I76" i="21"/>
  <c r="F76" i="21"/>
  <c r="E76" i="21"/>
  <c r="D76" i="21"/>
  <c r="K75" i="21"/>
  <c r="I75" i="21"/>
  <c r="F75" i="21"/>
  <c r="E75" i="21"/>
  <c r="D75" i="21"/>
  <c r="K74" i="21"/>
  <c r="I74" i="21"/>
  <c r="F74" i="21"/>
  <c r="E74" i="21"/>
  <c r="D74" i="21"/>
  <c r="K73" i="21"/>
  <c r="I73" i="21"/>
  <c r="F73" i="21"/>
  <c r="E73" i="21"/>
  <c r="D73" i="21"/>
  <c r="K72" i="21"/>
  <c r="I72" i="21"/>
  <c r="F72" i="21"/>
  <c r="E72" i="21"/>
  <c r="D72" i="21"/>
  <c r="K71" i="21"/>
  <c r="I71" i="21"/>
  <c r="F71" i="21"/>
  <c r="E71" i="21"/>
  <c r="D71" i="21"/>
  <c r="K70" i="21"/>
  <c r="I70" i="21"/>
  <c r="F70" i="21"/>
  <c r="E70" i="21"/>
  <c r="D70" i="21"/>
  <c r="K69" i="21"/>
  <c r="I69" i="21"/>
  <c r="F69" i="21"/>
  <c r="E69" i="21"/>
  <c r="D69" i="21"/>
  <c r="K68" i="21"/>
  <c r="I68" i="21"/>
  <c r="F68" i="21"/>
  <c r="E68" i="21"/>
  <c r="D68" i="21"/>
  <c r="K67" i="21"/>
  <c r="J67" i="21"/>
  <c r="I67" i="21"/>
  <c r="F67" i="21"/>
  <c r="E67" i="21"/>
  <c r="D67" i="21"/>
  <c r="K66" i="21"/>
  <c r="J66" i="21"/>
  <c r="I66" i="21"/>
  <c r="F66" i="21"/>
  <c r="E66" i="21"/>
  <c r="D66" i="21"/>
  <c r="K65" i="21"/>
  <c r="J65" i="21"/>
  <c r="I65" i="21"/>
  <c r="F65" i="21"/>
  <c r="E65" i="21"/>
  <c r="D65" i="21"/>
  <c r="K64" i="21"/>
  <c r="J64" i="21"/>
  <c r="I64" i="21"/>
  <c r="F64" i="21"/>
  <c r="E64" i="21"/>
  <c r="D64" i="21"/>
  <c r="K63" i="21"/>
  <c r="J63" i="21"/>
  <c r="I63" i="21"/>
  <c r="F63" i="21"/>
  <c r="E63" i="21"/>
  <c r="D63" i="21"/>
  <c r="K62" i="21"/>
  <c r="J62" i="21"/>
  <c r="I62" i="21"/>
  <c r="F62" i="21"/>
  <c r="E62" i="21"/>
  <c r="D62" i="21"/>
  <c r="K61" i="21"/>
  <c r="J61" i="21"/>
  <c r="I61" i="21"/>
  <c r="F61" i="21"/>
  <c r="E61" i="21"/>
  <c r="D61" i="21"/>
  <c r="K60" i="21"/>
  <c r="J60" i="21"/>
  <c r="I60" i="21"/>
  <c r="F60" i="21"/>
  <c r="E60" i="21"/>
  <c r="D60" i="21"/>
  <c r="K59" i="21"/>
  <c r="J59" i="21"/>
  <c r="I59" i="21"/>
  <c r="F59" i="21"/>
  <c r="E59" i="21"/>
  <c r="D59" i="21"/>
  <c r="K58" i="21"/>
  <c r="J58" i="21"/>
  <c r="I58" i="21"/>
  <c r="F58" i="21"/>
  <c r="E58" i="21"/>
  <c r="D58" i="21"/>
  <c r="K57" i="21"/>
  <c r="J57" i="21"/>
  <c r="I57" i="21"/>
  <c r="F57" i="21"/>
  <c r="E57" i="21"/>
  <c r="D57" i="21"/>
  <c r="K56" i="21"/>
  <c r="J56" i="21"/>
  <c r="I56" i="21"/>
  <c r="F56" i="21"/>
  <c r="E56" i="21"/>
  <c r="D56" i="21"/>
  <c r="K55" i="21"/>
  <c r="J55" i="21"/>
  <c r="I55" i="21"/>
  <c r="F55" i="21"/>
  <c r="E55" i="21"/>
  <c r="D55" i="21"/>
  <c r="K54" i="21"/>
  <c r="J54" i="21"/>
  <c r="I54" i="21"/>
  <c r="F54" i="21"/>
  <c r="E54" i="21"/>
  <c r="D54" i="21"/>
  <c r="K53" i="21"/>
  <c r="J53" i="21"/>
  <c r="I53" i="21"/>
  <c r="F53" i="21"/>
  <c r="E53" i="21"/>
  <c r="D53" i="21"/>
  <c r="K52" i="21"/>
  <c r="J52" i="21"/>
  <c r="I52" i="21"/>
  <c r="F52" i="21"/>
  <c r="E52" i="21"/>
  <c r="D52" i="21"/>
  <c r="K51" i="21"/>
  <c r="J51" i="21"/>
  <c r="I51" i="21"/>
  <c r="F51" i="21"/>
  <c r="E51" i="21"/>
  <c r="D51" i="21"/>
  <c r="K50" i="21"/>
  <c r="J50" i="21"/>
  <c r="I50" i="21"/>
  <c r="F50" i="21"/>
  <c r="E50" i="21"/>
  <c r="D50" i="21"/>
  <c r="K49" i="21"/>
  <c r="J49" i="21"/>
  <c r="I49" i="21"/>
  <c r="F49" i="21"/>
  <c r="E49" i="21"/>
  <c r="D49" i="21"/>
  <c r="K48" i="21"/>
  <c r="J48" i="21"/>
  <c r="I48" i="21"/>
  <c r="F48" i="21"/>
  <c r="E48" i="21"/>
  <c r="D48" i="21"/>
  <c r="K47" i="21"/>
  <c r="J47" i="21"/>
  <c r="I47" i="21"/>
  <c r="F47" i="21"/>
  <c r="E47" i="21"/>
  <c r="D47" i="21"/>
  <c r="K46" i="21"/>
  <c r="J46" i="21"/>
  <c r="I46" i="21"/>
  <c r="F46" i="21"/>
  <c r="E46" i="21"/>
  <c r="D46" i="21"/>
  <c r="K45" i="21"/>
  <c r="J45" i="21"/>
  <c r="I45" i="21"/>
  <c r="F45" i="21"/>
  <c r="E45" i="21"/>
  <c r="D45" i="21"/>
  <c r="K44" i="21"/>
  <c r="J44" i="21"/>
  <c r="I44" i="21"/>
  <c r="F44" i="21"/>
  <c r="E44" i="21"/>
  <c r="D44" i="21"/>
  <c r="K37" i="21"/>
  <c r="J37" i="21"/>
  <c r="I37" i="21"/>
  <c r="F37" i="21"/>
  <c r="E37" i="21"/>
  <c r="D37" i="21"/>
  <c r="K36" i="21"/>
  <c r="J36" i="21"/>
  <c r="I36" i="21"/>
  <c r="F36" i="21"/>
  <c r="E36" i="21"/>
  <c r="D36" i="21"/>
  <c r="K35" i="21"/>
  <c r="J35" i="21"/>
  <c r="I35" i="21"/>
  <c r="F35" i="21"/>
  <c r="E35" i="21"/>
  <c r="D35" i="21"/>
  <c r="K34" i="21"/>
  <c r="J34" i="21"/>
  <c r="I34" i="21"/>
  <c r="F34" i="21"/>
  <c r="E34" i="21"/>
  <c r="D34" i="21"/>
  <c r="K33" i="21"/>
  <c r="J33" i="21"/>
  <c r="I33" i="21"/>
  <c r="F33" i="21"/>
  <c r="E33" i="21"/>
  <c r="D33" i="21"/>
  <c r="K32" i="21"/>
  <c r="J32" i="21"/>
  <c r="I32" i="21"/>
  <c r="F32" i="21"/>
  <c r="E32" i="21"/>
  <c r="D32" i="21"/>
  <c r="K31" i="21"/>
  <c r="J31" i="21"/>
  <c r="I31" i="21"/>
  <c r="F31" i="21"/>
  <c r="E31" i="21"/>
  <c r="D31" i="21"/>
  <c r="K30" i="21"/>
  <c r="J30" i="21"/>
  <c r="I30" i="21"/>
  <c r="F30" i="21"/>
  <c r="E30" i="21"/>
  <c r="D30" i="21"/>
  <c r="K29" i="21"/>
  <c r="J29" i="21"/>
  <c r="I29" i="21"/>
  <c r="F29" i="21"/>
  <c r="E29" i="21"/>
  <c r="D29" i="21"/>
  <c r="K28" i="21"/>
  <c r="J28" i="21"/>
  <c r="I28" i="21"/>
  <c r="F28" i="21"/>
  <c r="E28" i="21"/>
  <c r="D28" i="21"/>
  <c r="K27" i="21"/>
  <c r="J27" i="21"/>
  <c r="I27" i="21"/>
  <c r="F27" i="21"/>
  <c r="E27" i="21"/>
  <c r="D27" i="21"/>
  <c r="K26" i="21"/>
  <c r="J26" i="21"/>
  <c r="I26" i="21"/>
  <c r="F26" i="21"/>
  <c r="E26" i="21"/>
  <c r="D26" i="21"/>
  <c r="K25" i="21"/>
  <c r="J25" i="21"/>
  <c r="I25" i="21"/>
  <c r="F25" i="21"/>
  <c r="E25" i="21"/>
  <c r="D25" i="21"/>
  <c r="K24" i="21"/>
  <c r="J24" i="21"/>
  <c r="I24" i="21"/>
  <c r="F24" i="21"/>
  <c r="E24" i="21"/>
  <c r="D24" i="21"/>
  <c r="K23" i="21"/>
  <c r="J23" i="21"/>
  <c r="I23" i="21"/>
  <c r="F23" i="21"/>
  <c r="E23" i="21"/>
  <c r="D23" i="21"/>
  <c r="K22" i="21"/>
  <c r="J22" i="21"/>
  <c r="I22" i="21"/>
  <c r="K21" i="21"/>
  <c r="J21" i="21"/>
  <c r="I21" i="21"/>
  <c r="K20" i="21"/>
  <c r="J20" i="21"/>
  <c r="I20" i="21"/>
  <c r="K19" i="21"/>
  <c r="J19" i="21"/>
  <c r="I19" i="21"/>
  <c r="K18" i="21"/>
  <c r="J18" i="21"/>
  <c r="I18" i="21"/>
  <c r="K17" i="21"/>
  <c r="J17" i="21"/>
  <c r="I17" i="21"/>
  <c r="K16" i="21"/>
  <c r="J16" i="21"/>
  <c r="I16" i="21"/>
  <c r="K15" i="21"/>
  <c r="J15" i="21"/>
  <c r="I15" i="21"/>
  <c r="K14" i="21"/>
  <c r="J14" i="21"/>
  <c r="I14" i="21"/>
  <c r="K13" i="21"/>
  <c r="J13" i="21"/>
  <c r="I13" i="21"/>
  <c r="K12" i="21"/>
  <c r="J12" i="21"/>
  <c r="I12" i="21"/>
  <c r="K11" i="21"/>
  <c r="J11" i="21"/>
  <c r="I11" i="21"/>
  <c r="K10" i="21"/>
  <c r="J10" i="21"/>
  <c r="I10" i="21"/>
  <c r="K9" i="21"/>
  <c r="J9" i="21"/>
  <c r="I9" i="21"/>
  <c r="K8" i="21"/>
  <c r="J8" i="21"/>
  <c r="I8" i="21"/>
  <c r="K7" i="21"/>
  <c r="J7" i="21"/>
  <c r="I7" i="21"/>
  <c r="K6" i="21"/>
  <c r="J6" i="21"/>
  <c r="I6" i="21"/>
  <c r="C6" i="21"/>
  <c r="F6" i="21" s="1"/>
  <c r="K5" i="21"/>
  <c r="J5" i="21"/>
  <c r="I5" i="21"/>
  <c r="F5" i="21"/>
  <c r="E5" i="21"/>
  <c r="D5" i="21"/>
  <c r="C7" i="21" l="1"/>
  <c r="E7" i="21" s="1"/>
  <c r="D7" i="21"/>
  <c r="F7" i="21"/>
  <c r="D6" i="21"/>
  <c r="E6" i="21"/>
  <c r="C8" i="21"/>
  <c r="C95" i="20"/>
  <c r="C96" i="20" s="1"/>
  <c r="C97" i="20" s="1"/>
  <c r="C98" i="20" s="1"/>
  <c r="C99" i="20" s="1"/>
  <c r="C100" i="20" s="1"/>
  <c r="C101" i="20" s="1"/>
  <c r="C102" i="20" s="1"/>
  <c r="C103" i="20" s="1"/>
  <c r="C104" i="20" s="1"/>
  <c r="C105" i="20" s="1"/>
  <c r="C106" i="20" s="1"/>
  <c r="C107" i="20" s="1"/>
  <c r="C108" i="20" s="1"/>
  <c r="C109" i="20" s="1"/>
  <c r="C110" i="20" s="1"/>
  <c r="C111" i="20" s="1"/>
  <c r="C112" i="20" s="1"/>
  <c r="C113" i="20" s="1"/>
  <c r="C114" i="20" s="1"/>
  <c r="C115" i="20" s="1"/>
  <c r="C116" i="20" s="1"/>
  <c r="C117" i="20" s="1"/>
  <c r="C118" i="20" s="1"/>
  <c r="C119" i="20" s="1"/>
  <c r="C120" i="20" s="1"/>
  <c r="C121" i="20" s="1"/>
  <c r="C122" i="20" s="1"/>
  <c r="C123" i="20" s="1"/>
  <c r="C124" i="20" s="1"/>
  <c r="C125" i="20" s="1"/>
  <c r="C126" i="20" s="1"/>
  <c r="C127" i="20" s="1"/>
  <c r="C128" i="20" s="1"/>
  <c r="C129" i="20" s="1"/>
  <c r="C130" i="20" s="1"/>
  <c r="C131" i="20" s="1"/>
  <c r="C132" i="20" s="1"/>
  <c r="C133" i="20" s="1"/>
  <c r="C134" i="20" s="1"/>
  <c r="C135" i="20" s="1"/>
  <c r="C136" i="20" s="1"/>
  <c r="C137" i="20" s="1"/>
  <c r="C138" i="20" s="1"/>
  <c r="C139" i="20" s="1"/>
  <c r="C140" i="20" s="1"/>
  <c r="C141" i="20" s="1"/>
  <c r="C142" i="20" s="1"/>
  <c r="C143" i="20" s="1"/>
  <c r="C144" i="20" s="1"/>
  <c r="C145" i="20" s="1"/>
  <c r="C146" i="20" s="1"/>
  <c r="C147" i="20" s="1"/>
  <c r="C148" i="20" s="1"/>
  <c r="C149" i="20" s="1"/>
  <c r="C150" i="20" s="1"/>
  <c r="C151" i="20" s="1"/>
  <c r="C152" i="20" s="1"/>
  <c r="C153" i="20" s="1"/>
  <c r="C154" i="20" s="1"/>
  <c r="C155" i="20" s="1"/>
  <c r="C156" i="20" s="1"/>
  <c r="C157" i="20" s="1"/>
  <c r="C158" i="20" s="1"/>
  <c r="C159" i="20" s="1"/>
  <c r="C160" i="20" s="1"/>
  <c r="C161" i="20" s="1"/>
  <c r="C162" i="20" s="1"/>
  <c r="C163" i="20" s="1"/>
  <c r="C164" i="20" s="1"/>
  <c r="C165" i="20" s="1"/>
  <c r="C166" i="20" s="1"/>
  <c r="C167" i="20" s="1"/>
  <c r="C168" i="20" s="1"/>
  <c r="C169" i="20" s="1"/>
  <c r="C170" i="20" s="1"/>
  <c r="C171" i="20" s="1"/>
  <c r="C172" i="20" s="1"/>
  <c r="C173" i="20" s="1"/>
  <c r="C174" i="20" s="1"/>
  <c r="C175" i="20" s="1"/>
  <c r="C176" i="20" s="1"/>
  <c r="C177" i="20" s="1"/>
  <c r="C178" i="20" s="1"/>
  <c r="C179" i="20" s="1"/>
  <c r="C180" i="20" s="1"/>
  <c r="C181" i="20" s="1"/>
  <c r="C182" i="20" s="1"/>
  <c r="C183" i="20" s="1"/>
  <c r="C184" i="20" s="1"/>
  <c r="C185" i="20" s="1"/>
  <c r="C186" i="20" s="1"/>
  <c r="C187" i="20" s="1"/>
  <c r="C188" i="20" s="1"/>
  <c r="C189" i="20" s="1"/>
  <c r="C190" i="20" s="1"/>
  <c r="C191" i="20" s="1"/>
  <c r="C192" i="20" s="1"/>
  <c r="C193" i="20" s="1"/>
  <c r="C194" i="20" s="1"/>
  <c r="C195" i="20" s="1"/>
  <c r="C196" i="20" s="1"/>
  <c r="C197" i="20" s="1"/>
  <c r="C198" i="20" s="1"/>
  <c r="C199" i="20" s="1"/>
  <c r="C200" i="20" s="1"/>
  <c r="C201" i="20" s="1"/>
  <c r="C202" i="20" s="1"/>
  <c r="C203" i="20" s="1"/>
  <c r="C204" i="20" s="1"/>
  <c r="C205" i="20" s="1"/>
  <c r="C206" i="20" s="1"/>
  <c r="C207" i="20" s="1"/>
  <c r="C208" i="20" s="1"/>
  <c r="C209" i="20" s="1"/>
  <c r="C210" i="20" s="1"/>
  <c r="C211" i="20" s="1"/>
  <c r="C212" i="20" s="1"/>
  <c r="C213" i="20" s="1"/>
  <c r="C214" i="20" s="1"/>
  <c r="C215" i="20" s="1"/>
  <c r="C216" i="20" s="1"/>
  <c r="C217" i="20" s="1"/>
  <c r="C218" i="20" s="1"/>
  <c r="C219" i="20" s="1"/>
  <c r="C220" i="20" s="1"/>
  <c r="C90" i="20"/>
  <c r="K75" i="20"/>
  <c r="I75" i="20"/>
  <c r="K74" i="20"/>
  <c r="I74" i="20"/>
  <c r="K73" i="20"/>
  <c r="I73" i="20"/>
  <c r="K72" i="20"/>
  <c r="I72" i="20"/>
  <c r="K71" i="20"/>
  <c r="I71" i="20"/>
  <c r="K70" i="20"/>
  <c r="I70" i="20"/>
  <c r="K69" i="20"/>
  <c r="I69" i="20"/>
  <c r="K68" i="20"/>
  <c r="I68" i="20"/>
  <c r="K67" i="20"/>
  <c r="J67" i="20"/>
  <c r="I67" i="20"/>
  <c r="K66" i="20"/>
  <c r="J66" i="20"/>
  <c r="I66" i="20"/>
  <c r="K65" i="20"/>
  <c r="J65" i="20"/>
  <c r="I65" i="20"/>
  <c r="K64" i="20"/>
  <c r="J64" i="20"/>
  <c r="I64" i="20"/>
  <c r="K63" i="20"/>
  <c r="J63" i="20"/>
  <c r="I63" i="20"/>
  <c r="K62" i="20"/>
  <c r="J62" i="20"/>
  <c r="I62" i="20"/>
  <c r="K61" i="20"/>
  <c r="J61" i="20"/>
  <c r="I61" i="20"/>
  <c r="K60" i="20"/>
  <c r="J60" i="20"/>
  <c r="I60" i="20"/>
  <c r="K59" i="20"/>
  <c r="J59" i="20"/>
  <c r="I59" i="20"/>
  <c r="K58" i="20"/>
  <c r="J58" i="20"/>
  <c r="I58" i="20"/>
  <c r="K57" i="20"/>
  <c r="J57" i="20"/>
  <c r="I57" i="20"/>
  <c r="K56" i="20"/>
  <c r="J56" i="20"/>
  <c r="I56" i="20"/>
  <c r="K55" i="20"/>
  <c r="J55" i="20"/>
  <c r="I55" i="20"/>
  <c r="K54" i="20"/>
  <c r="J54" i="20"/>
  <c r="I54" i="20"/>
  <c r="K53" i="20"/>
  <c r="J53" i="20"/>
  <c r="I53" i="20"/>
  <c r="K52" i="20"/>
  <c r="J52" i="20"/>
  <c r="I52" i="20"/>
  <c r="C6" i="20"/>
  <c r="D6" i="20" s="1"/>
  <c r="F5" i="20"/>
  <c r="E5" i="20"/>
  <c r="D5" i="20"/>
  <c r="E6" i="20" l="1"/>
  <c r="F6" i="20"/>
  <c r="C7" i="20"/>
  <c r="D8" i="21"/>
  <c r="F8" i="21"/>
  <c r="C9" i="21"/>
  <c r="E8" i="21"/>
  <c r="C91" i="20"/>
  <c r="C92" i="20" s="1"/>
  <c r="C93" i="20" s="1"/>
  <c r="C8" i="20"/>
  <c r="D9" i="21" l="1"/>
  <c r="F9" i="21"/>
  <c r="E9" i="21"/>
  <c r="C10" i="21"/>
  <c r="F7" i="20"/>
  <c r="D8" i="20"/>
  <c r="C9" i="20"/>
  <c r="F8" i="20"/>
  <c r="E8" i="20"/>
  <c r="D7" i="20"/>
  <c r="E7" i="20"/>
  <c r="C90" i="19"/>
  <c r="C95" i="19"/>
  <c r="C96" i="19" s="1"/>
  <c r="C97" i="19" s="1"/>
  <c r="C98" i="19" s="1"/>
  <c r="C99" i="19" s="1"/>
  <c r="C100" i="19" s="1"/>
  <c r="C101" i="19" s="1"/>
  <c r="C102" i="19" s="1"/>
  <c r="C103" i="19" s="1"/>
  <c r="C104" i="19" s="1"/>
  <c r="C105" i="19" s="1"/>
  <c r="C106" i="19" s="1"/>
  <c r="C107" i="19" s="1"/>
  <c r="C108" i="19" s="1"/>
  <c r="C109" i="19" s="1"/>
  <c r="C110" i="19" s="1"/>
  <c r="C111" i="19" s="1"/>
  <c r="C112" i="19" s="1"/>
  <c r="C113" i="19" s="1"/>
  <c r="C114" i="19" s="1"/>
  <c r="D5" i="19"/>
  <c r="E5" i="19"/>
  <c r="F5" i="19"/>
  <c r="C6" i="19"/>
  <c r="K52" i="19"/>
  <c r="J52" i="19"/>
  <c r="I52" i="19"/>
  <c r="K53" i="19"/>
  <c r="J53" i="19"/>
  <c r="I53" i="19"/>
  <c r="K54" i="19"/>
  <c r="J54" i="19"/>
  <c r="I54" i="19"/>
  <c r="K55" i="19"/>
  <c r="J55" i="19"/>
  <c r="I55" i="19"/>
  <c r="K56" i="19"/>
  <c r="J56" i="19"/>
  <c r="I56" i="19"/>
  <c r="K57" i="19"/>
  <c r="I57" i="19"/>
  <c r="J57" i="19"/>
  <c r="K58" i="19"/>
  <c r="J58" i="19"/>
  <c r="I58" i="19"/>
  <c r="K59" i="19"/>
  <c r="J59" i="19"/>
  <c r="I59" i="19"/>
  <c r="K60" i="19"/>
  <c r="J60" i="19"/>
  <c r="I60" i="19"/>
  <c r="K61" i="19"/>
  <c r="I61" i="19"/>
  <c r="J61" i="19"/>
  <c r="K62" i="19"/>
  <c r="J62" i="19"/>
  <c r="I62" i="19"/>
  <c r="K63" i="19"/>
  <c r="I63" i="19"/>
  <c r="J63" i="19"/>
  <c r="K64" i="19"/>
  <c r="J64" i="19"/>
  <c r="I64" i="19"/>
  <c r="K65" i="19"/>
  <c r="J65" i="19"/>
  <c r="I65" i="19"/>
  <c r="K66" i="19"/>
  <c r="I66" i="19"/>
  <c r="J66" i="19"/>
  <c r="K67" i="19"/>
  <c r="J67" i="19"/>
  <c r="I67" i="19"/>
  <c r="K68" i="19"/>
  <c r="I68" i="19"/>
  <c r="K69" i="19"/>
  <c r="I69" i="19"/>
  <c r="I70" i="19"/>
  <c r="K70" i="19"/>
  <c r="I71" i="19"/>
  <c r="K71" i="19"/>
  <c r="K72" i="19"/>
  <c r="I72" i="19"/>
  <c r="K73" i="19"/>
  <c r="I73" i="19"/>
  <c r="K74" i="19"/>
  <c r="I74" i="19"/>
  <c r="I75" i="19"/>
  <c r="K75" i="19"/>
  <c r="C7" i="19" l="1"/>
  <c r="F6" i="19"/>
  <c r="C115" i="19"/>
  <c r="C116" i="19" s="1"/>
  <c r="C117" i="19" s="1"/>
  <c r="C118" i="19" s="1"/>
  <c r="C119" i="19" s="1"/>
  <c r="C120" i="19" s="1"/>
  <c r="C121" i="19" s="1"/>
  <c r="C122" i="19" s="1"/>
  <c r="C123" i="19" s="1"/>
  <c r="C124" i="19" s="1"/>
  <c r="C125" i="19" s="1"/>
  <c r="C126" i="19" s="1"/>
  <c r="C127" i="19" s="1"/>
  <c r="C128" i="19" s="1"/>
  <c r="C129" i="19" s="1"/>
  <c r="C130" i="19" s="1"/>
  <c r="C131" i="19" s="1"/>
  <c r="C132" i="19" s="1"/>
  <c r="C133" i="19" s="1"/>
  <c r="C134" i="19" s="1"/>
  <c r="C135" i="19" s="1"/>
  <c r="C136" i="19" s="1"/>
  <c r="C137" i="19" s="1"/>
  <c r="C138" i="19" s="1"/>
  <c r="C139" i="19" s="1"/>
  <c r="C140" i="19" s="1"/>
  <c r="C141" i="19" s="1"/>
  <c r="F10" i="21"/>
  <c r="E10" i="21"/>
  <c r="C11" i="21"/>
  <c r="D10" i="21"/>
  <c r="F9" i="20"/>
  <c r="D9" i="20"/>
  <c r="C10" i="20"/>
  <c r="E9" i="20"/>
  <c r="D6" i="19"/>
  <c r="E6" i="19"/>
  <c r="C91" i="19"/>
  <c r="E7" i="19" s="1"/>
  <c r="D7" i="19"/>
  <c r="C142" i="19" l="1"/>
  <c r="C8" i="19"/>
  <c r="F7" i="19"/>
  <c r="C12" i="21"/>
  <c r="F11" i="21"/>
  <c r="E11" i="21"/>
  <c r="D11" i="21"/>
  <c r="C11" i="20"/>
  <c r="F10" i="20"/>
  <c r="E10" i="20"/>
  <c r="D10" i="20"/>
  <c r="C92" i="19"/>
  <c r="C143" i="19" l="1"/>
  <c r="C144" i="19" s="1"/>
  <c r="C145" i="19" s="1"/>
  <c r="C146" i="19" s="1"/>
  <c r="C147" i="19" s="1"/>
  <c r="C148" i="19" s="1"/>
  <c r="C149" i="19" s="1"/>
  <c r="C150" i="19" s="1"/>
  <c r="C151" i="19" s="1"/>
  <c r="C152" i="19" s="1"/>
  <c r="C153" i="19" s="1"/>
  <c r="C154" i="19" s="1"/>
  <c r="C155" i="19" s="1"/>
  <c r="C156" i="19" s="1"/>
  <c r="E8" i="19"/>
  <c r="D8" i="19"/>
  <c r="C9" i="19"/>
  <c r="F8" i="19"/>
  <c r="E12" i="21"/>
  <c r="F12" i="21"/>
  <c r="D12" i="21"/>
  <c r="D11" i="20"/>
  <c r="C12" i="20"/>
  <c r="F11" i="20"/>
  <c r="E11" i="20"/>
  <c r="C93" i="19"/>
  <c r="C157" i="19" l="1"/>
  <c r="C158" i="19" s="1"/>
  <c r="C159" i="19" s="1"/>
  <c r="C160" i="19" s="1"/>
  <c r="E9" i="19"/>
  <c r="C181" i="19"/>
  <c r="C182" i="19" s="1"/>
  <c r="C183" i="19" s="1"/>
  <c r="C184" i="19" s="1"/>
  <c r="C185" i="19" s="1"/>
  <c r="C186" i="19" s="1"/>
  <c r="C187" i="19" s="1"/>
  <c r="C188" i="19" s="1"/>
  <c r="C189" i="19" s="1"/>
  <c r="C190" i="19" s="1"/>
  <c r="C191" i="19" s="1"/>
  <c r="C192" i="19" s="1"/>
  <c r="C193" i="19" s="1"/>
  <c r="C194" i="19" s="1"/>
  <c r="C195" i="19" s="1"/>
  <c r="C196" i="19" s="1"/>
  <c r="C197" i="19" s="1"/>
  <c r="C198" i="19" s="1"/>
  <c r="C199" i="19" s="1"/>
  <c r="C200" i="19" s="1"/>
  <c r="C201" i="19" s="1"/>
  <c r="C202" i="19" s="1"/>
  <c r="C203" i="19" s="1"/>
  <c r="C204" i="19" s="1"/>
  <c r="C205" i="19" s="1"/>
  <c r="C206" i="19" s="1"/>
  <c r="C207" i="19" s="1"/>
  <c r="C208" i="19" s="1"/>
  <c r="C209" i="19" s="1"/>
  <c r="C210" i="19" s="1"/>
  <c r="C211" i="19" s="1"/>
  <c r="C212" i="19" s="1"/>
  <c r="C213" i="19" s="1"/>
  <c r="C214" i="19" s="1"/>
  <c r="C215" i="19" s="1"/>
  <c r="C216" i="19" s="1"/>
  <c r="C217" i="19" s="1"/>
  <c r="C218" i="19" s="1"/>
  <c r="C219" i="19" s="1"/>
  <c r="C220" i="19" s="1"/>
  <c r="C221" i="19" s="1"/>
  <c r="C222" i="19" s="1"/>
  <c r="C223" i="19" s="1"/>
  <c r="C224" i="19" s="1"/>
  <c r="C225" i="19" s="1"/>
  <c r="C226" i="19" s="1"/>
  <c r="C227" i="19" s="1"/>
  <c r="C228" i="19" s="1"/>
  <c r="C229" i="19" s="1"/>
  <c r="C230" i="19" s="1"/>
  <c r="F9" i="19"/>
  <c r="C10" i="19"/>
  <c r="D10" i="19" s="1"/>
  <c r="E13" i="21"/>
  <c r="F13" i="21"/>
  <c r="D13" i="21"/>
  <c r="F12" i="20"/>
  <c r="D12" i="20"/>
  <c r="E12" i="20"/>
  <c r="C13" i="20"/>
  <c r="D9" i="19"/>
  <c r="E10" i="19"/>
  <c r="F10" i="19" l="1"/>
  <c r="C11" i="19"/>
  <c r="E14" i="21"/>
  <c r="F14" i="21"/>
  <c r="D14" i="21"/>
  <c r="C14" i="20"/>
  <c r="F13" i="20"/>
  <c r="D13" i="20"/>
  <c r="E13" i="20"/>
  <c r="F11" i="19" l="1"/>
  <c r="C12" i="19"/>
  <c r="E11" i="19"/>
  <c r="D11" i="19"/>
  <c r="E15" i="21"/>
  <c r="D15" i="21"/>
  <c r="F15" i="21"/>
  <c r="D14" i="20"/>
  <c r="C15" i="20"/>
  <c r="F14" i="20"/>
  <c r="E14" i="20"/>
  <c r="F12" i="19" l="1"/>
  <c r="E12" i="19"/>
  <c r="D12" i="19"/>
  <c r="C13" i="19"/>
  <c r="D16" i="21"/>
  <c r="F16" i="21"/>
  <c r="E16" i="21"/>
  <c r="F15" i="20"/>
  <c r="D15" i="20"/>
  <c r="C16" i="20"/>
  <c r="E15" i="20"/>
  <c r="F13" i="19" l="1"/>
  <c r="E13" i="19"/>
  <c r="C14" i="19"/>
  <c r="D13" i="19"/>
  <c r="E17" i="21"/>
  <c r="D17" i="21"/>
  <c r="F17" i="21"/>
  <c r="C17" i="20"/>
  <c r="F16" i="20"/>
  <c r="E16" i="20"/>
  <c r="D16" i="20"/>
  <c r="F14" i="19" l="1"/>
  <c r="E14" i="19"/>
  <c r="D14" i="19"/>
  <c r="C15" i="19"/>
  <c r="F18" i="21"/>
  <c r="E18" i="21"/>
  <c r="D18" i="21"/>
  <c r="D17" i="20"/>
  <c r="C18" i="20"/>
  <c r="F17" i="20"/>
  <c r="E17" i="20"/>
  <c r="F15" i="19" l="1"/>
  <c r="D15" i="19"/>
  <c r="C16" i="19"/>
  <c r="E15" i="19"/>
  <c r="D19" i="21"/>
  <c r="F19" i="21"/>
  <c r="E19" i="21"/>
  <c r="F18" i="20"/>
  <c r="D18" i="20"/>
  <c r="E18" i="20"/>
  <c r="C19" i="20"/>
  <c r="F16" i="19" l="1"/>
  <c r="E16" i="19"/>
  <c r="C17" i="19"/>
  <c r="D16" i="19"/>
  <c r="D20" i="21"/>
  <c r="F20" i="21"/>
  <c r="E20" i="21"/>
  <c r="C20" i="20"/>
  <c r="F19" i="20"/>
  <c r="E19" i="20"/>
  <c r="D19" i="20"/>
  <c r="C18" i="19" l="1"/>
  <c r="D17" i="19"/>
  <c r="E17" i="19"/>
  <c r="F17" i="19"/>
  <c r="F21" i="21"/>
  <c r="E21" i="21"/>
  <c r="D21" i="21"/>
  <c r="D20" i="20"/>
  <c r="C21" i="20"/>
  <c r="F20" i="20"/>
  <c r="E20" i="20"/>
  <c r="E18" i="19" l="1"/>
  <c r="C19" i="19"/>
  <c r="F18" i="19"/>
  <c r="D18" i="19"/>
  <c r="E22" i="21"/>
  <c r="F22" i="21"/>
  <c r="D22" i="21"/>
  <c r="F21" i="20"/>
  <c r="D21" i="20"/>
  <c r="E21" i="20"/>
  <c r="C22" i="20"/>
  <c r="E19" i="19" l="1"/>
  <c r="D19" i="19"/>
  <c r="F19" i="19"/>
  <c r="C20" i="19"/>
  <c r="F22" i="20"/>
  <c r="E22" i="20"/>
  <c r="D22" i="20"/>
  <c r="F20" i="19" l="1"/>
  <c r="E20" i="19"/>
  <c r="C21" i="19"/>
  <c r="D20" i="19"/>
  <c r="D23" i="20"/>
  <c r="F23" i="20"/>
  <c r="E23" i="20"/>
  <c r="D21" i="19" l="1"/>
  <c r="F21" i="19"/>
  <c r="C22" i="19"/>
  <c r="E21" i="19"/>
  <c r="F24" i="20"/>
  <c r="D24" i="20"/>
  <c r="E24" i="20"/>
  <c r="D22" i="19" l="1"/>
  <c r="C23" i="19"/>
  <c r="E22" i="19"/>
  <c r="F22" i="19"/>
  <c r="F25" i="20"/>
  <c r="D25" i="20"/>
  <c r="E25" i="20"/>
  <c r="E23" i="19" l="1"/>
  <c r="F23" i="19"/>
  <c r="C24" i="19"/>
  <c r="D23" i="19"/>
  <c r="D26" i="20"/>
  <c r="F26" i="20"/>
  <c r="E26" i="20"/>
  <c r="D24" i="19" l="1"/>
  <c r="E24" i="19"/>
  <c r="C25" i="19"/>
  <c r="F24" i="19"/>
  <c r="F27" i="20"/>
  <c r="D27" i="20"/>
  <c r="E27" i="20"/>
  <c r="D25" i="19" l="1"/>
  <c r="F25" i="19"/>
  <c r="C26" i="19"/>
  <c r="E25" i="19"/>
  <c r="F28" i="20"/>
  <c r="D28" i="20"/>
  <c r="E28" i="20"/>
  <c r="D26" i="19" l="1"/>
  <c r="E26" i="19"/>
  <c r="C27" i="19"/>
  <c r="F26" i="19"/>
  <c r="D29" i="20"/>
  <c r="F29" i="20"/>
  <c r="E29" i="20"/>
  <c r="C28" i="19" l="1"/>
  <c r="F27" i="19"/>
  <c r="D27" i="19"/>
  <c r="E27" i="19"/>
  <c r="F30" i="20"/>
  <c r="D30" i="20"/>
  <c r="E30" i="20"/>
  <c r="D28" i="19" l="1"/>
  <c r="F28" i="19"/>
  <c r="C29" i="19"/>
  <c r="E28" i="19"/>
  <c r="F31" i="20"/>
  <c r="E31" i="20"/>
  <c r="D31" i="20"/>
  <c r="F29" i="19" l="1"/>
  <c r="D29" i="19"/>
  <c r="E29" i="19"/>
  <c r="C30" i="19"/>
  <c r="D32" i="20"/>
  <c r="F32" i="20"/>
  <c r="E32" i="20"/>
  <c r="F30" i="19" l="1"/>
  <c r="C31" i="19"/>
  <c r="D30" i="19"/>
  <c r="E30" i="19"/>
  <c r="F33" i="20"/>
  <c r="D33" i="20"/>
  <c r="E33" i="20"/>
  <c r="C32" i="19" l="1"/>
  <c r="D31" i="19"/>
  <c r="E31" i="19"/>
  <c r="F31" i="19"/>
  <c r="F34" i="20"/>
  <c r="E34" i="20"/>
  <c r="D34" i="20"/>
  <c r="E32" i="19" l="1"/>
  <c r="C33" i="19"/>
  <c r="F32" i="19"/>
  <c r="D32" i="19"/>
  <c r="D35" i="20"/>
  <c r="F35" i="20"/>
  <c r="E35" i="20"/>
  <c r="C34" i="19" l="1"/>
  <c r="F33" i="19"/>
  <c r="D33" i="19"/>
  <c r="E33" i="19"/>
  <c r="F36" i="20"/>
  <c r="D36" i="20"/>
  <c r="E36" i="20"/>
  <c r="E34" i="19" l="1"/>
  <c r="F34" i="19"/>
  <c r="C35" i="19"/>
  <c r="D34" i="19"/>
  <c r="F37" i="20"/>
  <c r="E37" i="20"/>
  <c r="D37" i="20"/>
  <c r="F35" i="19" l="1"/>
  <c r="D35" i="19"/>
  <c r="E35" i="19"/>
  <c r="C36" i="19"/>
  <c r="K5" i="20"/>
  <c r="I5" i="20"/>
  <c r="J5" i="20"/>
  <c r="E36" i="19" l="1"/>
  <c r="C37" i="19"/>
  <c r="D36" i="19"/>
  <c r="F36" i="19"/>
  <c r="I6" i="20"/>
  <c r="J6" i="20"/>
  <c r="K6" i="20"/>
  <c r="F37" i="19" l="1"/>
  <c r="H5" i="19"/>
  <c r="D37" i="19"/>
  <c r="E37" i="19"/>
  <c r="K7" i="20"/>
  <c r="I7" i="20"/>
  <c r="J7" i="20"/>
  <c r="K5" i="19" l="1"/>
  <c r="I5" i="19"/>
  <c r="J5" i="19"/>
  <c r="H6" i="19"/>
  <c r="K8" i="20"/>
  <c r="J8" i="20"/>
  <c r="I8" i="20"/>
  <c r="K6" i="19" l="1"/>
  <c r="I6" i="19"/>
  <c r="H7" i="19"/>
  <c r="J6" i="19"/>
  <c r="I9" i="20"/>
  <c r="K9" i="20"/>
  <c r="J9" i="20"/>
  <c r="H8" i="19" l="1"/>
  <c r="K7" i="19"/>
  <c r="I7" i="19"/>
  <c r="J7" i="19"/>
  <c r="K10" i="20"/>
  <c r="I10" i="20"/>
  <c r="J10" i="20"/>
  <c r="H9" i="19" l="1"/>
  <c r="K8" i="19"/>
  <c r="J8" i="19"/>
  <c r="I8" i="19"/>
  <c r="K11" i="20"/>
  <c r="J11" i="20"/>
  <c r="I11" i="20"/>
  <c r="H10" i="19" l="1"/>
  <c r="I9" i="19"/>
  <c r="K9" i="19"/>
  <c r="J9" i="19"/>
  <c r="I12" i="20"/>
  <c r="J12" i="20"/>
  <c r="K12" i="20"/>
  <c r="H11" i="19" l="1"/>
  <c r="I10" i="19"/>
  <c r="J10" i="19"/>
  <c r="K10" i="19"/>
  <c r="K13" i="20"/>
  <c r="I13" i="20"/>
  <c r="J13" i="20"/>
  <c r="K11" i="19" l="1"/>
  <c r="H12" i="19"/>
  <c r="J11" i="19"/>
  <c r="I11" i="19"/>
  <c r="K14" i="20"/>
  <c r="I14" i="20"/>
  <c r="J14" i="20"/>
  <c r="I12" i="19" l="1"/>
  <c r="J12" i="19"/>
  <c r="K12" i="19"/>
  <c r="H13" i="19"/>
  <c r="I15" i="20"/>
  <c r="K15" i="20"/>
  <c r="J15" i="20"/>
  <c r="H14" i="19" l="1"/>
  <c r="J13" i="19"/>
  <c r="I13" i="19"/>
  <c r="K13" i="19"/>
  <c r="K16" i="20"/>
  <c r="I16" i="20"/>
  <c r="J16" i="20"/>
  <c r="I14" i="19" l="1"/>
  <c r="H15" i="19"/>
  <c r="J14" i="19"/>
  <c r="K14" i="19"/>
  <c r="K17" i="20"/>
  <c r="J17" i="20"/>
  <c r="I17" i="20"/>
  <c r="K15" i="19" l="1"/>
  <c r="H16" i="19"/>
  <c r="J15" i="19"/>
  <c r="I15" i="19"/>
  <c r="I18" i="20"/>
  <c r="K18" i="20"/>
  <c r="J18" i="20"/>
  <c r="K16" i="19" l="1"/>
  <c r="H17" i="19"/>
  <c r="I16" i="19"/>
  <c r="J16" i="19"/>
  <c r="K19" i="20"/>
  <c r="I19" i="20"/>
  <c r="J19" i="20"/>
  <c r="I17" i="19" l="1"/>
  <c r="J17" i="19"/>
  <c r="K17" i="19"/>
  <c r="H18" i="19"/>
  <c r="K20" i="20"/>
  <c r="J20" i="20"/>
  <c r="I20" i="20"/>
  <c r="J18" i="19" l="1"/>
  <c r="H19" i="19"/>
  <c r="I18" i="19"/>
  <c r="K18" i="19"/>
  <c r="I21" i="20"/>
  <c r="K21" i="20"/>
  <c r="J21" i="20"/>
  <c r="H20" i="19" l="1"/>
  <c r="I19" i="19"/>
  <c r="K19" i="19"/>
  <c r="J19" i="19"/>
  <c r="K22" i="20"/>
  <c r="I22" i="20"/>
  <c r="J22" i="20"/>
  <c r="H21" i="19" l="1"/>
  <c r="K20" i="19"/>
  <c r="J20" i="19"/>
  <c r="I20" i="19"/>
  <c r="K23" i="20"/>
  <c r="J23" i="20"/>
  <c r="I23" i="20"/>
  <c r="K21" i="19" l="1"/>
  <c r="J21" i="19"/>
  <c r="I21" i="19"/>
  <c r="H22" i="19"/>
  <c r="I24" i="20"/>
  <c r="J24" i="20"/>
  <c r="K24" i="20"/>
  <c r="K22" i="19" l="1"/>
  <c r="H23" i="19"/>
  <c r="I22" i="19"/>
  <c r="J22" i="19"/>
  <c r="K25" i="20"/>
  <c r="I25" i="20"/>
  <c r="J25" i="20"/>
  <c r="K23" i="19" l="1"/>
  <c r="J23" i="19"/>
  <c r="I23" i="19"/>
  <c r="H24" i="19"/>
  <c r="K26" i="20"/>
  <c r="J26" i="20"/>
  <c r="I26" i="20"/>
  <c r="K24" i="19" l="1"/>
  <c r="I24" i="19"/>
  <c r="J24" i="19"/>
  <c r="H25" i="19"/>
  <c r="I27" i="20"/>
  <c r="K27" i="20"/>
  <c r="J27" i="20"/>
  <c r="K25" i="19" l="1"/>
  <c r="I25" i="19"/>
  <c r="J25" i="19"/>
  <c r="H26" i="19"/>
  <c r="K28" i="20"/>
  <c r="I28" i="20"/>
  <c r="J28" i="20"/>
  <c r="J26" i="19" l="1"/>
  <c r="I26" i="19"/>
  <c r="K26" i="19"/>
  <c r="H27" i="19"/>
  <c r="K29" i="20"/>
  <c r="J29" i="20"/>
  <c r="I29" i="20"/>
  <c r="J27" i="19" l="1"/>
  <c r="K27" i="19"/>
  <c r="I27" i="19"/>
  <c r="H28" i="19"/>
  <c r="I30" i="20"/>
  <c r="K30" i="20"/>
  <c r="J30" i="20"/>
  <c r="K28" i="19" l="1"/>
  <c r="J28" i="19"/>
  <c r="I28" i="19"/>
  <c r="H29" i="19"/>
  <c r="K31" i="20"/>
  <c r="I31" i="20"/>
  <c r="J31" i="20"/>
  <c r="I29" i="19" l="1"/>
  <c r="H30" i="19"/>
  <c r="J29" i="19"/>
  <c r="K29" i="19"/>
  <c r="K32" i="20"/>
  <c r="J32" i="20"/>
  <c r="I32" i="20"/>
  <c r="H31" i="19" l="1"/>
  <c r="J30" i="19"/>
  <c r="I30" i="19"/>
  <c r="K30" i="19"/>
  <c r="I33" i="20"/>
  <c r="K33" i="20"/>
  <c r="J33" i="20"/>
  <c r="H32" i="19" l="1"/>
  <c r="J31" i="19"/>
  <c r="I31" i="19"/>
  <c r="K31" i="19"/>
  <c r="K34" i="20"/>
  <c r="I34" i="20"/>
  <c r="J34" i="20"/>
  <c r="H33" i="19" l="1"/>
  <c r="I32" i="19"/>
  <c r="K32" i="19"/>
  <c r="J32" i="19"/>
  <c r="K35" i="20"/>
  <c r="J35" i="20"/>
  <c r="I35" i="20"/>
  <c r="H34" i="19" l="1"/>
  <c r="I33" i="19"/>
  <c r="K33" i="19"/>
  <c r="J33" i="19"/>
  <c r="I36" i="20"/>
  <c r="K36" i="20"/>
  <c r="J36" i="20"/>
  <c r="K34" i="19" l="1"/>
  <c r="H35" i="19"/>
  <c r="J34" i="19"/>
  <c r="I34" i="19"/>
  <c r="K37" i="20"/>
  <c r="I37" i="20"/>
  <c r="J37" i="20"/>
  <c r="H36" i="19" l="1"/>
  <c r="J35" i="19"/>
  <c r="I35" i="19"/>
  <c r="K35" i="19"/>
  <c r="D44" i="20"/>
  <c r="F44" i="20"/>
  <c r="E44" i="20"/>
  <c r="I36" i="19" l="1"/>
  <c r="J36" i="19"/>
  <c r="K36" i="19"/>
  <c r="H37" i="19"/>
  <c r="F45" i="20"/>
  <c r="D45" i="20"/>
  <c r="E45" i="20"/>
  <c r="J37" i="19" l="1"/>
  <c r="C44" i="19"/>
  <c r="I37" i="19"/>
  <c r="K37" i="19"/>
  <c r="F46" i="20"/>
  <c r="E46" i="20"/>
  <c r="D46" i="20"/>
  <c r="F44" i="19" l="1"/>
  <c r="D44" i="19"/>
  <c r="C45" i="19"/>
  <c r="E44" i="19"/>
  <c r="D47" i="20"/>
  <c r="F47" i="20"/>
  <c r="E47" i="20"/>
  <c r="E45" i="19" l="1"/>
  <c r="F45" i="19"/>
  <c r="D45" i="19"/>
  <c r="C46" i="19"/>
  <c r="F48" i="20"/>
  <c r="D48" i="20"/>
  <c r="E48" i="20"/>
  <c r="C47" i="19" l="1"/>
  <c r="D46" i="19"/>
  <c r="F46" i="19"/>
  <c r="E46" i="19"/>
  <c r="F49" i="20"/>
  <c r="E49" i="20"/>
  <c r="D49" i="20"/>
  <c r="E47" i="19" l="1"/>
  <c r="F47" i="19"/>
  <c r="C48" i="19"/>
  <c r="D47" i="19"/>
  <c r="D50" i="20"/>
  <c r="F50" i="20"/>
  <c r="E50" i="20"/>
  <c r="E48" i="19" l="1"/>
  <c r="F48" i="19"/>
  <c r="D48" i="19"/>
  <c r="C49" i="19"/>
  <c r="F51" i="20"/>
  <c r="D51" i="20"/>
  <c r="E51" i="20"/>
  <c r="E49" i="19" l="1"/>
  <c r="F49" i="19"/>
  <c r="D49" i="19"/>
  <c r="C50" i="19"/>
  <c r="F52" i="20"/>
  <c r="D52" i="20"/>
  <c r="E52" i="20"/>
  <c r="D50" i="19" l="1"/>
  <c r="E50" i="19"/>
  <c r="F50" i="19"/>
  <c r="C51" i="19"/>
  <c r="E53" i="20"/>
  <c r="D53" i="20"/>
  <c r="F53" i="20"/>
  <c r="C52" i="19" l="1"/>
  <c r="F51" i="19"/>
  <c r="D51" i="19"/>
  <c r="E51" i="19"/>
  <c r="F54" i="20"/>
  <c r="E54" i="20"/>
  <c r="D54" i="20"/>
  <c r="E52" i="19" l="1"/>
  <c r="D52" i="19"/>
  <c r="F52" i="19"/>
  <c r="C53" i="19"/>
  <c r="D55" i="20"/>
  <c r="F55" i="20"/>
  <c r="E55" i="20"/>
  <c r="C54" i="19" l="1"/>
  <c r="F53" i="19"/>
  <c r="D53" i="19"/>
  <c r="E53" i="19"/>
  <c r="E56" i="20"/>
  <c r="F56" i="20"/>
  <c r="D56" i="20"/>
  <c r="D54" i="19" l="1"/>
  <c r="F54" i="19"/>
  <c r="E54" i="19"/>
  <c r="C55" i="19"/>
  <c r="F57" i="20"/>
  <c r="E57" i="20"/>
  <c r="D57" i="20"/>
  <c r="D55" i="19" l="1"/>
  <c r="C56" i="19"/>
  <c r="E55" i="19"/>
  <c r="F55" i="19"/>
  <c r="F58" i="20"/>
  <c r="E58" i="20"/>
  <c r="D58" i="20"/>
  <c r="D56" i="19" l="1"/>
  <c r="C57" i="19"/>
  <c r="F56" i="19"/>
  <c r="E56" i="19"/>
  <c r="E59" i="20"/>
  <c r="F59" i="20"/>
  <c r="D59" i="20"/>
  <c r="D57" i="19" l="1"/>
  <c r="F57" i="19"/>
  <c r="C58" i="19"/>
  <c r="E57" i="19"/>
  <c r="D60" i="20"/>
  <c r="F60" i="20"/>
  <c r="E60" i="20"/>
  <c r="F58" i="19" l="1"/>
  <c r="E58" i="19"/>
  <c r="C59" i="19"/>
  <c r="C60" i="19" s="1"/>
  <c r="D58" i="19"/>
  <c r="F61" i="20"/>
  <c r="E61" i="20"/>
  <c r="D61" i="20"/>
  <c r="D60" i="19" l="1"/>
  <c r="E60" i="19"/>
  <c r="C61" i="19"/>
  <c r="D59" i="19"/>
  <c r="E59" i="19"/>
  <c r="F59" i="19"/>
  <c r="F62" i="20"/>
  <c r="D62" i="20"/>
  <c r="E62" i="20"/>
  <c r="C62" i="19" l="1"/>
  <c r="E61" i="19"/>
  <c r="D61" i="19"/>
  <c r="F60" i="19"/>
  <c r="F63" i="20"/>
  <c r="D63" i="20"/>
  <c r="E63" i="20"/>
  <c r="C63" i="19" l="1"/>
  <c r="D62" i="19"/>
  <c r="E62" i="19"/>
  <c r="F61" i="19"/>
  <c r="F64" i="20"/>
  <c r="D64" i="20"/>
  <c r="E64" i="20"/>
  <c r="D63" i="19" l="1"/>
  <c r="E63" i="19"/>
  <c r="C64" i="19"/>
  <c r="F62" i="19"/>
  <c r="E65" i="20"/>
  <c r="D65" i="20"/>
  <c r="F65" i="20"/>
  <c r="D64" i="19" l="1"/>
  <c r="E64" i="19"/>
  <c r="C65" i="19"/>
  <c r="F64" i="19"/>
  <c r="F63" i="19"/>
  <c r="F66" i="20"/>
  <c r="D66" i="20"/>
  <c r="E66" i="20"/>
  <c r="D66" i="19"/>
  <c r="F66" i="19"/>
  <c r="E66" i="19"/>
  <c r="D65" i="19" l="1"/>
  <c r="E65" i="19"/>
  <c r="F65" i="19"/>
  <c r="E67" i="20"/>
  <c r="D67" i="20"/>
  <c r="F67" i="20"/>
  <c r="F67" i="19"/>
  <c r="D67" i="19"/>
  <c r="E67" i="19"/>
  <c r="E68" i="20" l="1"/>
  <c r="F68" i="20"/>
  <c r="D68" i="20"/>
  <c r="D68" i="19"/>
  <c r="E68" i="19"/>
  <c r="F68" i="19"/>
  <c r="F69" i="20" l="1"/>
  <c r="E69" i="20"/>
  <c r="D69" i="20"/>
  <c r="F69" i="19"/>
  <c r="D69" i="19"/>
  <c r="E69" i="19"/>
  <c r="E70" i="20" l="1"/>
  <c r="F70" i="20"/>
  <c r="D70" i="20"/>
  <c r="E70" i="19"/>
  <c r="F70" i="19"/>
  <c r="D70" i="19"/>
  <c r="F71" i="20" l="1"/>
  <c r="E71" i="20"/>
  <c r="D71" i="20"/>
  <c r="D71" i="19"/>
  <c r="F71" i="19"/>
  <c r="E71" i="19"/>
  <c r="E72" i="20" l="1"/>
  <c r="F72" i="20"/>
  <c r="D72" i="20"/>
  <c r="F72" i="19"/>
  <c r="E72" i="19"/>
  <c r="D72" i="19"/>
  <c r="D73" i="20" l="1"/>
  <c r="E73" i="20"/>
  <c r="F73" i="20"/>
  <c r="F73" i="19"/>
  <c r="D73" i="19"/>
  <c r="E73" i="19"/>
  <c r="E74" i="20" l="1"/>
  <c r="F74" i="20"/>
  <c r="D74" i="20"/>
  <c r="F74" i="19"/>
  <c r="E74" i="19"/>
  <c r="D74" i="19"/>
  <c r="D75" i="20" l="1"/>
  <c r="E75" i="20"/>
  <c r="F75" i="20"/>
  <c r="D75" i="19"/>
  <c r="E75" i="19"/>
  <c r="F75" i="19"/>
  <c r="E76" i="20" l="1"/>
  <c r="F76" i="20"/>
  <c r="D76" i="20"/>
  <c r="F76" i="19"/>
  <c r="D76" i="19"/>
  <c r="E76" i="19"/>
  <c r="K44" i="20" l="1"/>
  <c r="J44" i="20"/>
  <c r="I44" i="20"/>
  <c r="K44" i="19"/>
  <c r="I44" i="19"/>
  <c r="J44" i="19"/>
  <c r="K46" i="19" l="1"/>
  <c r="I46" i="19"/>
  <c r="J46" i="19"/>
  <c r="I45" i="20"/>
  <c r="K45" i="20"/>
  <c r="J45" i="20"/>
  <c r="K45" i="19"/>
  <c r="J45" i="19"/>
  <c r="I45" i="19"/>
  <c r="K47" i="19" l="1"/>
  <c r="J47" i="19"/>
  <c r="I47" i="19"/>
  <c r="K46" i="20"/>
  <c r="I46" i="20"/>
  <c r="J46" i="20"/>
  <c r="K48" i="19" l="1"/>
  <c r="I48" i="19"/>
  <c r="J48" i="19"/>
  <c r="K47" i="20"/>
  <c r="J47" i="20"/>
  <c r="I47" i="20"/>
  <c r="K49" i="19" l="1"/>
  <c r="I49" i="19"/>
  <c r="J49" i="19"/>
  <c r="I48" i="20"/>
  <c r="J48" i="20"/>
  <c r="K48" i="20"/>
  <c r="K50" i="19" l="1"/>
  <c r="J50" i="19"/>
  <c r="I50" i="19"/>
  <c r="K49" i="20"/>
  <c r="I49" i="20"/>
  <c r="J49" i="20"/>
  <c r="J51" i="19" l="1"/>
  <c r="K51" i="19"/>
  <c r="I51" i="19"/>
  <c r="K50" i="20"/>
  <c r="J50" i="20"/>
  <c r="I50" i="20"/>
  <c r="I51" i="20" l="1"/>
  <c r="K51" i="20"/>
  <c r="J51" i="20"/>
</calcChain>
</file>

<file path=xl/sharedStrings.xml><?xml version="1.0" encoding="utf-8"?>
<sst xmlns="http://schemas.openxmlformats.org/spreadsheetml/2006/main" count="292" uniqueCount="156">
  <si>
    <t>図面番号</t>
  </si>
  <si>
    <t>図　面　名</t>
  </si>
  <si>
    <t>縮 尺</t>
    <rPh sb="0" eb="1">
      <t>チヂミ</t>
    </rPh>
    <rPh sb="2" eb="3">
      <t>シャク</t>
    </rPh>
    <phoneticPr fontId="1"/>
  </si>
  <si>
    <t>備 考</t>
    <rPh sb="0" eb="1">
      <t>ソナエ</t>
    </rPh>
    <rPh sb="2" eb="3">
      <t>コウ</t>
    </rPh>
    <phoneticPr fontId="1"/>
  </si>
  <si>
    <t>　</t>
    <phoneticPr fontId="1"/>
  </si>
  <si>
    <t>図示</t>
    <rPh sb="0" eb="2">
      <t>ズシ</t>
    </rPh>
    <phoneticPr fontId="1"/>
  </si>
  <si>
    <t>1:50</t>
    <phoneticPr fontId="1"/>
  </si>
  <si>
    <t>1:100</t>
    <phoneticPr fontId="1"/>
  </si>
  <si>
    <t>1:20</t>
    <phoneticPr fontId="1"/>
  </si>
  <si>
    <t>1:500</t>
    <phoneticPr fontId="1"/>
  </si>
  <si>
    <t>川表翼壁構造図</t>
    <rPh sb="0" eb="2">
      <t>カワオモテ</t>
    </rPh>
    <rPh sb="2" eb="4">
      <t>ヨクヘキ</t>
    </rPh>
    <rPh sb="4" eb="7">
      <t>コウゾウズ</t>
    </rPh>
    <phoneticPr fontId="1"/>
  </si>
  <si>
    <t>川裏翼壁構造図</t>
    <rPh sb="0" eb="2">
      <t>カワウラ</t>
    </rPh>
    <rPh sb="2" eb="4">
      <t>ヨクヘキ</t>
    </rPh>
    <rPh sb="4" eb="7">
      <t>コウゾウズ</t>
    </rPh>
    <phoneticPr fontId="1"/>
  </si>
  <si>
    <t>川表翼壁配筋図(1)</t>
    <rPh sb="0" eb="2">
      <t>カワオモテ</t>
    </rPh>
    <rPh sb="2" eb="4">
      <t>ヨクヘキ</t>
    </rPh>
    <rPh sb="4" eb="7">
      <t>ハイキンズ</t>
    </rPh>
    <phoneticPr fontId="1"/>
  </si>
  <si>
    <t>川表翼壁配筋図(2)</t>
    <rPh sb="0" eb="2">
      <t>カワオモテ</t>
    </rPh>
    <rPh sb="2" eb="4">
      <t>ヨクヘキ</t>
    </rPh>
    <rPh sb="4" eb="7">
      <t>ハイキンズ</t>
    </rPh>
    <phoneticPr fontId="1"/>
  </si>
  <si>
    <t>川表翼壁配筋図(3)</t>
    <rPh sb="0" eb="2">
      <t>カワオモテ</t>
    </rPh>
    <rPh sb="2" eb="4">
      <t>ヨクヘキ</t>
    </rPh>
    <rPh sb="4" eb="7">
      <t>ハイキンズ</t>
    </rPh>
    <phoneticPr fontId="1"/>
  </si>
  <si>
    <t>川裏翼壁配筋図(1)</t>
    <rPh sb="0" eb="1">
      <t>カワ</t>
    </rPh>
    <rPh sb="1" eb="2">
      <t>ウラ</t>
    </rPh>
    <rPh sb="2" eb="4">
      <t>ヨクヘキ</t>
    </rPh>
    <rPh sb="4" eb="7">
      <t>ハイキンズ</t>
    </rPh>
    <phoneticPr fontId="1"/>
  </si>
  <si>
    <t>川裏翼壁配筋図(2)</t>
    <rPh sb="0" eb="1">
      <t>カワ</t>
    </rPh>
    <rPh sb="1" eb="2">
      <t>ウラ</t>
    </rPh>
    <rPh sb="2" eb="4">
      <t>ヨクヘキ</t>
    </rPh>
    <rPh sb="4" eb="7">
      <t>ハイキンズ</t>
    </rPh>
    <phoneticPr fontId="1"/>
  </si>
  <si>
    <t>川裏翼壁配筋図(3)</t>
    <rPh sb="0" eb="1">
      <t>カワ</t>
    </rPh>
    <rPh sb="1" eb="2">
      <t>ウラ</t>
    </rPh>
    <rPh sb="2" eb="4">
      <t>ヨクヘキ</t>
    </rPh>
    <rPh sb="4" eb="7">
      <t>ハイキンズ</t>
    </rPh>
    <phoneticPr fontId="1"/>
  </si>
  <si>
    <t>施工段階図(1)</t>
    <rPh sb="0" eb="2">
      <t>セコウ</t>
    </rPh>
    <rPh sb="2" eb="4">
      <t>ダンカイ</t>
    </rPh>
    <rPh sb="4" eb="5">
      <t>ズ</t>
    </rPh>
    <phoneticPr fontId="1"/>
  </si>
  <si>
    <t>施工段階図(2)</t>
    <rPh sb="0" eb="2">
      <t>セコウ</t>
    </rPh>
    <rPh sb="2" eb="4">
      <t>ダンカイ</t>
    </rPh>
    <rPh sb="4" eb="5">
      <t>ズ</t>
    </rPh>
    <phoneticPr fontId="1"/>
  </si>
  <si>
    <t>施工段階図(3)</t>
    <rPh sb="0" eb="2">
      <t>セコウ</t>
    </rPh>
    <rPh sb="2" eb="4">
      <t>ダンカイ</t>
    </rPh>
    <rPh sb="4" eb="5">
      <t>ズ</t>
    </rPh>
    <phoneticPr fontId="1"/>
  </si>
  <si>
    <t>施工段階図(4)</t>
    <rPh sb="0" eb="2">
      <t>セコウ</t>
    </rPh>
    <rPh sb="2" eb="4">
      <t>ダンカイ</t>
    </rPh>
    <rPh sb="4" eb="5">
      <t>ズ</t>
    </rPh>
    <phoneticPr fontId="1"/>
  </si>
  <si>
    <t>施工段階図(5)</t>
    <rPh sb="0" eb="2">
      <t>セコウ</t>
    </rPh>
    <rPh sb="2" eb="4">
      <t>ダンカイ</t>
    </rPh>
    <rPh sb="4" eb="5">
      <t>ズ</t>
    </rPh>
    <phoneticPr fontId="1"/>
  </si>
  <si>
    <t>施工段階図(6)</t>
    <rPh sb="0" eb="2">
      <t>セコウ</t>
    </rPh>
    <rPh sb="2" eb="4">
      <t>ダンカイ</t>
    </rPh>
    <rPh sb="4" eb="5">
      <t>ズ</t>
    </rPh>
    <phoneticPr fontId="1"/>
  </si>
  <si>
    <t>施工段階図(7)</t>
    <rPh sb="0" eb="2">
      <t>セコウ</t>
    </rPh>
    <rPh sb="2" eb="4">
      <t>ダンカイ</t>
    </rPh>
    <rPh sb="4" eb="5">
      <t>ズ</t>
    </rPh>
    <phoneticPr fontId="1"/>
  </si>
  <si>
    <t>1:300</t>
    <phoneticPr fontId="1"/>
  </si>
  <si>
    <t>階段工構造図(1)</t>
    <rPh sb="0" eb="2">
      <t>カイダン</t>
    </rPh>
    <rPh sb="2" eb="3">
      <t>コウ</t>
    </rPh>
    <rPh sb="3" eb="6">
      <t>コウゾウズ</t>
    </rPh>
    <phoneticPr fontId="1"/>
  </si>
  <si>
    <t>階段工構造図(2)</t>
    <rPh sb="0" eb="2">
      <t>カイダン</t>
    </rPh>
    <rPh sb="2" eb="3">
      <t>コウ</t>
    </rPh>
    <rPh sb="3" eb="6">
      <t>コウゾウズ</t>
    </rPh>
    <phoneticPr fontId="1"/>
  </si>
  <si>
    <t>樋門土工図(1)</t>
    <rPh sb="0" eb="2">
      <t>ヒモン</t>
    </rPh>
    <rPh sb="2" eb="4">
      <t>ドコウ</t>
    </rPh>
    <rPh sb="4" eb="5">
      <t>ズ</t>
    </rPh>
    <phoneticPr fontId="1"/>
  </si>
  <si>
    <t>樋門土工図(2)</t>
    <rPh sb="0" eb="2">
      <t>ヒモン</t>
    </rPh>
    <rPh sb="2" eb="4">
      <t>ドコウ</t>
    </rPh>
    <rPh sb="4" eb="5">
      <t>ズ</t>
    </rPh>
    <phoneticPr fontId="1"/>
  </si>
  <si>
    <t>プレキャスト函体配置図</t>
    <phoneticPr fontId="1"/>
  </si>
  <si>
    <t>遮水矢板・グラウトホール構造図(1)</t>
    <rPh sb="0" eb="2">
      <t>シャスイ</t>
    </rPh>
    <rPh sb="2" eb="3">
      <t>ヤ</t>
    </rPh>
    <rPh sb="3" eb="4">
      <t>イタ</t>
    </rPh>
    <rPh sb="12" eb="15">
      <t>コウゾウズ</t>
    </rPh>
    <phoneticPr fontId="1"/>
  </si>
  <si>
    <t>遮水矢板・グラウトホール構造図(2)</t>
    <rPh sb="0" eb="2">
      <t>シャスイ</t>
    </rPh>
    <rPh sb="2" eb="3">
      <t>ヤ</t>
    </rPh>
    <rPh sb="3" eb="4">
      <t>イタ</t>
    </rPh>
    <rPh sb="12" eb="15">
      <t>コウゾウズ</t>
    </rPh>
    <phoneticPr fontId="1"/>
  </si>
  <si>
    <t>囲繞堤土工横断図(1)</t>
    <rPh sb="0" eb="3">
      <t>イ</t>
    </rPh>
    <rPh sb="3" eb="5">
      <t>ドコウ</t>
    </rPh>
    <rPh sb="5" eb="8">
      <t>オウダンズ</t>
    </rPh>
    <phoneticPr fontId="1"/>
  </si>
  <si>
    <t>囲繞堤土工横断図(2)</t>
    <rPh sb="0" eb="3">
      <t>イ</t>
    </rPh>
    <rPh sb="3" eb="5">
      <t>ドコウ</t>
    </rPh>
    <rPh sb="5" eb="8">
      <t>オウダンズ</t>
    </rPh>
    <phoneticPr fontId="1"/>
  </si>
  <si>
    <t>囲繞堤土工横断図(3)</t>
    <rPh sb="0" eb="3">
      <t>イ</t>
    </rPh>
    <rPh sb="3" eb="5">
      <t>ドコウ</t>
    </rPh>
    <rPh sb="5" eb="8">
      <t>オウダンズ</t>
    </rPh>
    <phoneticPr fontId="1"/>
  </si>
  <si>
    <t>囲繞堤土工横断図(4)</t>
    <rPh sb="0" eb="3">
      <t>イ</t>
    </rPh>
    <rPh sb="3" eb="5">
      <t>ドコウ</t>
    </rPh>
    <rPh sb="5" eb="8">
      <t>オウダンズ</t>
    </rPh>
    <phoneticPr fontId="1"/>
  </si>
  <si>
    <t>樋門本体工構造図(1)</t>
    <rPh sb="0" eb="2">
      <t>ヒモン</t>
    </rPh>
    <rPh sb="2" eb="4">
      <t>ホンタイ</t>
    </rPh>
    <rPh sb="4" eb="5">
      <t>コウ</t>
    </rPh>
    <rPh sb="5" eb="8">
      <t>コウゾウズ</t>
    </rPh>
    <phoneticPr fontId="1"/>
  </si>
  <si>
    <t>樋門本体工構造図(2)</t>
    <rPh sb="0" eb="2">
      <t>ヒモン</t>
    </rPh>
    <rPh sb="2" eb="4">
      <t>ホンタイ</t>
    </rPh>
    <rPh sb="4" eb="5">
      <t>コウ</t>
    </rPh>
    <rPh sb="5" eb="8">
      <t>コウゾウズ</t>
    </rPh>
    <phoneticPr fontId="1"/>
  </si>
  <si>
    <t>樋門本体工構造図(3)</t>
    <rPh sb="0" eb="2">
      <t>ヒモン</t>
    </rPh>
    <rPh sb="2" eb="4">
      <t>ホンタイ</t>
    </rPh>
    <rPh sb="4" eb="5">
      <t>コウ</t>
    </rPh>
    <rPh sb="5" eb="8">
      <t>コウゾウズ</t>
    </rPh>
    <phoneticPr fontId="1"/>
  </si>
  <si>
    <t>仮設工図(1)</t>
    <rPh sb="0" eb="2">
      <t>カセツ</t>
    </rPh>
    <rPh sb="2" eb="3">
      <t>コウ</t>
    </rPh>
    <rPh sb="3" eb="4">
      <t>ズ</t>
    </rPh>
    <phoneticPr fontId="1"/>
  </si>
  <si>
    <t>仮設工図(2)</t>
    <rPh sb="0" eb="2">
      <t>カセツ</t>
    </rPh>
    <rPh sb="2" eb="3">
      <t>コウ</t>
    </rPh>
    <rPh sb="3" eb="4">
      <t>ズ</t>
    </rPh>
    <phoneticPr fontId="1"/>
  </si>
  <si>
    <t>1:100</t>
    <phoneticPr fontId="10"/>
  </si>
  <si>
    <t>1:50</t>
    <phoneticPr fontId="10"/>
  </si>
  <si>
    <t>扉体組立図(ローラーゲート)</t>
    <rPh sb="0" eb="2">
      <t>ヒタイ</t>
    </rPh>
    <rPh sb="2" eb="5">
      <t>クミタテ</t>
    </rPh>
    <phoneticPr fontId="10"/>
  </si>
  <si>
    <t>1:10</t>
    <phoneticPr fontId="10"/>
  </si>
  <si>
    <t>扉体組立図(フラップゲート)</t>
    <rPh sb="0" eb="2">
      <t>ヒタイ</t>
    </rPh>
    <rPh sb="2" eb="5">
      <t>クミタテ</t>
    </rPh>
    <phoneticPr fontId="10"/>
  </si>
  <si>
    <t>1:3</t>
    <phoneticPr fontId="10"/>
  </si>
  <si>
    <t>戸当り組立図</t>
    <rPh sb="0" eb="2">
      <t>トアタ</t>
    </rPh>
    <rPh sb="3" eb="6">
      <t>クミタ</t>
    </rPh>
    <phoneticPr fontId="10"/>
  </si>
  <si>
    <t>1:20</t>
    <phoneticPr fontId="10"/>
  </si>
  <si>
    <t>管理橋組立図</t>
    <rPh sb="0" eb="2">
      <t>カンリ</t>
    </rPh>
    <rPh sb="2" eb="3">
      <t>キョウ</t>
    </rPh>
    <rPh sb="3" eb="6">
      <t>クミタ</t>
    </rPh>
    <phoneticPr fontId="10"/>
  </si>
  <si>
    <t>1:15</t>
    <phoneticPr fontId="10"/>
  </si>
  <si>
    <t>管理橋防護柵組立図</t>
    <rPh sb="0" eb="2">
      <t>カンリ</t>
    </rPh>
    <rPh sb="2" eb="3">
      <t>キョウ</t>
    </rPh>
    <rPh sb="3" eb="6">
      <t>ボウゴサク</t>
    </rPh>
    <rPh sb="6" eb="9">
      <t>クミタテ</t>
    </rPh>
    <phoneticPr fontId="10"/>
  </si>
  <si>
    <t>翼壁防護柵配置図</t>
    <rPh sb="0" eb="2">
      <t>ヨクヘキ</t>
    </rPh>
    <rPh sb="2" eb="5">
      <t>ボウゴサク</t>
    </rPh>
    <rPh sb="5" eb="8">
      <t>ハイチズ</t>
    </rPh>
    <phoneticPr fontId="10"/>
  </si>
  <si>
    <t>胸壁防護柵組立図</t>
    <rPh sb="0" eb="2">
      <t>キョウヘキ</t>
    </rPh>
    <rPh sb="2" eb="5">
      <t>ボウゴサク</t>
    </rPh>
    <rPh sb="5" eb="8">
      <t>クミタテ</t>
    </rPh>
    <phoneticPr fontId="10"/>
  </si>
  <si>
    <t>1:5</t>
    <phoneticPr fontId="10"/>
  </si>
  <si>
    <t>翼壁防護柵組立図</t>
    <rPh sb="0" eb="2">
      <t>ヨクヘキ</t>
    </rPh>
    <rPh sb="2" eb="5">
      <t>ボウゴサク</t>
    </rPh>
    <rPh sb="5" eb="8">
      <t>クミ</t>
    </rPh>
    <phoneticPr fontId="10"/>
  </si>
  <si>
    <t>開閉装置組立図</t>
    <rPh sb="0" eb="4">
      <t>カイヘイソウチ</t>
    </rPh>
    <rPh sb="4" eb="7">
      <t>クミタ</t>
    </rPh>
    <phoneticPr fontId="10"/>
  </si>
  <si>
    <t>1:8</t>
    <phoneticPr fontId="10"/>
  </si>
  <si>
    <t>箱抜き差し筋図</t>
    <rPh sb="0" eb="2">
      <t>ハコヌ</t>
    </rPh>
    <rPh sb="3" eb="4">
      <t>サ</t>
    </rPh>
    <rPh sb="5" eb="6">
      <t>キン</t>
    </rPh>
    <rPh sb="6" eb="7">
      <t>ズ</t>
    </rPh>
    <phoneticPr fontId="10"/>
  </si>
  <si>
    <t>1:40</t>
    <phoneticPr fontId="10"/>
  </si>
  <si>
    <t>引込配置図</t>
    <rPh sb="0" eb="2">
      <t>ヒキコミ</t>
    </rPh>
    <rPh sb="2" eb="4">
      <t>ハイチ</t>
    </rPh>
    <rPh sb="4" eb="5">
      <t>ズ</t>
    </rPh>
    <phoneticPr fontId="10"/>
  </si>
  <si>
    <t>図示</t>
    <rPh sb="0" eb="2">
      <t>ズシ</t>
    </rPh>
    <phoneticPr fontId="10"/>
  </si>
  <si>
    <t>配管配線図</t>
    <rPh sb="0" eb="2">
      <t>ハイカン</t>
    </rPh>
    <rPh sb="2" eb="4">
      <t>ハイセン</t>
    </rPh>
    <rPh sb="4" eb="5">
      <t>ズ</t>
    </rPh>
    <phoneticPr fontId="10"/>
  </si>
  <si>
    <t>水位計配置図</t>
    <rPh sb="0" eb="3">
      <t>スイイケイ</t>
    </rPh>
    <rPh sb="3" eb="5">
      <t>ハイチ</t>
    </rPh>
    <rPh sb="5" eb="6">
      <t>ズ</t>
    </rPh>
    <phoneticPr fontId="10"/>
  </si>
  <si>
    <t>配管配線系統図</t>
    <rPh sb="0" eb="2">
      <t>ハイカン</t>
    </rPh>
    <rPh sb="2" eb="4">
      <t>ハイセン</t>
    </rPh>
    <rPh sb="4" eb="6">
      <t>ケイトウ</t>
    </rPh>
    <rPh sb="6" eb="7">
      <t>ズ</t>
    </rPh>
    <phoneticPr fontId="10"/>
  </si>
  <si>
    <t>noscale</t>
    <phoneticPr fontId="10"/>
  </si>
  <si>
    <t>単線結線図</t>
    <rPh sb="0" eb="2">
      <t>タンセン</t>
    </rPh>
    <rPh sb="2" eb="4">
      <t>ケッセン</t>
    </rPh>
    <rPh sb="4" eb="5">
      <t>ズ</t>
    </rPh>
    <phoneticPr fontId="10"/>
  </si>
  <si>
    <t>盤外形図</t>
    <rPh sb="0" eb="1">
      <t>バン</t>
    </rPh>
    <rPh sb="1" eb="3">
      <t>ガイケイ</t>
    </rPh>
    <rPh sb="3" eb="4">
      <t>ズ</t>
    </rPh>
    <phoneticPr fontId="10"/>
  </si>
  <si>
    <t>特記仕様書（その1）</t>
    <rPh sb="0" eb="2">
      <t>トッッキ</t>
    </rPh>
    <rPh sb="2" eb="5">
      <t>シヨウショ</t>
    </rPh>
    <phoneticPr fontId="10"/>
  </si>
  <si>
    <t>特記仕様書（その2）</t>
    <rPh sb="0" eb="2">
      <t>トッッキ</t>
    </rPh>
    <rPh sb="2" eb="5">
      <t>シヨウショ</t>
    </rPh>
    <phoneticPr fontId="10"/>
  </si>
  <si>
    <t>建物面積</t>
    <rPh sb="0" eb="2">
      <t>タテモノ</t>
    </rPh>
    <rPh sb="2" eb="4">
      <t>メンセキ</t>
    </rPh>
    <phoneticPr fontId="10"/>
  </si>
  <si>
    <t>平面図・小屋伏図・矩形図・アンカー詳細図</t>
    <rPh sb="0" eb="3">
      <t>ヘイメンズ</t>
    </rPh>
    <rPh sb="4" eb="6">
      <t>コヤ</t>
    </rPh>
    <rPh sb="6" eb="7">
      <t>フ</t>
    </rPh>
    <rPh sb="7" eb="8">
      <t>ズ</t>
    </rPh>
    <rPh sb="9" eb="12">
      <t>クケイズ</t>
    </rPh>
    <rPh sb="17" eb="19">
      <t>ショウサイ</t>
    </rPh>
    <rPh sb="19" eb="20">
      <t>ズ</t>
    </rPh>
    <phoneticPr fontId="10"/>
  </si>
  <si>
    <t>1:30</t>
    <phoneticPr fontId="10"/>
  </si>
  <si>
    <t>立面図</t>
    <rPh sb="0" eb="3">
      <t>リツメンズ</t>
    </rPh>
    <phoneticPr fontId="10"/>
  </si>
  <si>
    <t>建具表</t>
    <rPh sb="0" eb="3">
      <t>タテグヒョウ</t>
    </rPh>
    <phoneticPr fontId="10"/>
  </si>
  <si>
    <t>電気設備工事特記仕様書図</t>
    <rPh sb="0" eb="4">
      <t>デンキセツビ</t>
    </rPh>
    <rPh sb="4" eb="6">
      <t>コウジ</t>
    </rPh>
    <rPh sb="6" eb="8">
      <t>トッキ</t>
    </rPh>
    <rPh sb="8" eb="11">
      <t>シヨウショ</t>
    </rPh>
    <rPh sb="11" eb="12">
      <t>ズ</t>
    </rPh>
    <phoneticPr fontId="10"/>
  </si>
  <si>
    <t>照明電気図</t>
    <rPh sb="0" eb="2">
      <t>ショウメイ</t>
    </rPh>
    <rPh sb="2" eb="4">
      <t>デンキ</t>
    </rPh>
    <rPh sb="4" eb="5">
      <t>ズ</t>
    </rPh>
    <phoneticPr fontId="10"/>
  </si>
  <si>
    <t>天端舗装工詳細図</t>
    <rPh sb="0" eb="2">
      <t>テンバ</t>
    </rPh>
    <rPh sb="2" eb="5">
      <t>ホソウコウ</t>
    </rPh>
    <rPh sb="5" eb="7">
      <t>ショウサイ</t>
    </rPh>
    <rPh sb="7" eb="8">
      <t>ズ</t>
    </rPh>
    <phoneticPr fontId="1"/>
  </si>
  <si>
    <t>令和4年度　千曲川遊水地排水樋門詳細設計その1業務　【平和橋遊水地排水樋門】　土木施設　図面目録(1)</t>
    <rPh sb="0" eb="2">
      <t>レイワ</t>
    </rPh>
    <rPh sb="3" eb="5">
      <t>ネンド</t>
    </rPh>
    <rPh sb="6" eb="9">
      <t>チクマガワ</t>
    </rPh>
    <rPh sb="9" eb="12">
      <t>ユウスイチ</t>
    </rPh>
    <rPh sb="12" eb="14">
      <t>ハイスイ</t>
    </rPh>
    <rPh sb="14" eb="16">
      <t>ヒモン</t>
    </rPh>
    <rPh sb="16" eb="18">
      <t>ショウサイ</t>
    </rPh>
    <rPh sb="18" eb="20">
      <t>セッケイ</t>
    </rPh>
    <rPh sb="23" eb="25">
      <t>ギョウム</t>
    </rPh>
    <rPh sb="27" eb="29">
      <t>ヘイワ</t>
    </rPh>
    <rPh sb="29" eb="30">
      <t>キョウ</t>
    </rPh>
    <rPh sb="30" eb="33">
      <t>ユウスイチ</t>
    </rPh>
    <rPh sb="33" eb="35">
      <t>ハイスイ</t>
    </rPh>
    <rPh sb="35" eb="37">
      <t>ヒモン</t>
    </rPh>
    <rPh sb="39" eb="41">
      <t>ドボク</t>
    </rPh>
    <rPh sb="41" eb="43">
      <t>シセツ</t>
    </rPh>
    <rPh sb="44" eb="46">
      <t>ズメン</t>
    </rPh>
    <rPh sb="46" eb="48">
      <t>モクロク</t>
    </rPh>
    <phoneticPr fontId="1"/>
  </si>
  <si>
    <t>令和4年度　千曲川遊水地排水樋門詳細設計その1業務　【平和橋遊水地排水樋門】　機電設備　図面目録</t>
    <rPh sb="0" eb="2">
      <t>レイワ</t>
    </rPh>
    <rPh sb="3" eb="5">
      <t>ネンド</t>
    </rPh>
    <rPh sb="6" eb="9">
      <t>チクマガワ</t>
    </rPh>
    <rPh sb="9" eb="12">
      <t>ユウスイチ</t>
    </rPh>
    <rPh sb="12" eb="14">
      <t>ハイスイ</t>
    </rPh>
    <rPh sb="14" eb="16">
      <t>ヒモン</t>
    </rPh>
    <rPh sb="16" eb="18">
      <t>ショウサイ</t>
    </rPh>
    <rPh sb="18" eb="20">
      <t>セッケイ</t>
    </rPh>
    <rPh sb="23" eb="25">
      <t>ギョウム</t>
    </rPh>
    <rPh sb="27" eb="29">
      <t>ヘイワ</t>
    </rPh>
    <rPh sb="29" eb="30">
      <t>キョウ</t>
    </rPh>
    <rPh sb="30" eb="33">
      <t>ユウスイチ</t>
    </rPh>
    <rPh sb="33" eb="35">
      <t>ハイスイ</t>
    </rPh>
    <rPh sb="35" eb="37">
      <t>ヒモン</t>
    </rPh>
    <rPh sb="39" eb="41">
      <t>キデン</t>
    </rPh>
    <rPh sb="41" eb="43">
      <t>セツビ</t>
    </rPh>
    <rPh sb="44" eb="46">
      <t>ズメン</t>
    </rPh>
    <rPh sb="46" eb="48">
      <t>モクロク</t>
    </rPh>
    <phoneticPr fontId="1"/>
  </si>
  <si>
    <t>平和橋遊水地排水樋門全体図</t>
    <rPh sb="0" eb="2">
      <t>ヘイワ</t>
    </rPh>
    <rPh sb="2" eb="3">
      <t>キョウ</t>
    </rPh>
    <rPh sb="3" eb="6">
      <t>ユウスイチ</t>
    </rPh>
    <rPh sb="6" eb="8">
      <t>ハイスイ</t>
    </rPh>
    <rPh sb="8" eb="10">
      <t>ヒモン</t>
    </rPh>
    <rPh sb="10" eb="13">
      <t>ゼンタイズ</t>
    </rPh>
    <phoneticPr fontId="10"/>
  </si>
  <si>
    <t>平和橋遊水地排水樋門一般図</t>
    <rPh sb="0" eb="2">
      <t>ヘイワ</t>
    </rPh>
    <rPh sb="2" eb="3">
      <t>キョウ</t>
    </rPh>
    <rPh sb="3" eb="6">
      <t>ユウスイチ</t>
    </rPh>
    <rPh sb="6" eb="8">
      <t>ハイスイ</t>
    </rPh>
    <rPh sb="8" eb="10">
      <t>ヒモン</t>
    </rPh>
    <rPh sb="10" eb="12">
      <t>イッパン</t>
    </rPh>
    <rPh sb="12" eb="13">
      <t>ズ</t>
    </rPh>
    <phoneticPr fontId="10"/>
  </si>
  <si>
    <t>令和4年度　千曲川遊水地排水樋門詳細設計その1業務　【平和橋遊水地排水樋門】　建築施設　図面目録</t>
    <rPh sb="0" eb="2">
      <t>レイワ</t>
    </rPh>
    <rPh sb="3" eb="5">
      <t>ネンド</t>
    </rPh>
    <rPh sb="6" eb="9">
      <t>チクマガワ</t>
    </rPh>
    <rPh sb="9" eb="12">
      <t>ユウスイチ</t>
    </rPh>
    <rPh sb="12" eb="14">
      <t>ハイスイ</t>
    </rPh>
    <rPh sb="14" eb="16">
      <t>ヒモン</t>
    </rPh>
    <rPh sb="16" eb="18">
      <t>ショウサイ</t>
    </rPh>
    <rPh sb="18" eb="20">
      <t>セッケイ</t>
    </rPh>
    <rPh sb="23" eb="25">
      <t>ギョウム</t>
    </rPh>
    <rPh sb="27" eb="29">
      <t>ヘイワ</t>
    </rPh>
    <rPh sb="29" eb="30">
      <t>キョウ</t>
    </rPh>
    <rPh sb="30" eb="33">
      <t>ユウスイチ</t>
    </rPh>
    <rPh sb="33" eb="35">
      <t>ハイスイ</t>
    </rPh>
    <rPh sb="35" eb="37">
      <t>ヒモン</t>
    </rPh>
    <rPh sb="39" eb="41">
      <t>ケンチク</t>
    </rPh>
    <rPh sb="41" eb="43">
      <t>シセツ</t>
    </rPh>
    <rPh sb="44" eb="46">
      <t>ズメン</t>
    </rPh>
    <rPh sb="46" eb="48">
      <t>モクロク</t>
    </rPh>
    <phoneticPr fontId="1"/>
  </si>
  <si>
    <t>令和4年度　千曲川遊水地排水樋門詳細設計その1業務　【平和橋遊水地排水樋門】　建築施設　図面目録(2)</t>
    <rPh sb="0" eb="2">
      <t>レイワ</t>
    </rPh>
    <rPh sb="3" eb="5">
      <t>ネンド</t>
    </rPh>
    <rPh sb="6" eb="9">
      <t>チクマガワ</t>
    </rPh>
    <rPh sb="9" eb="12">
      <t>ユウスイチ</t>
    </rPh>
    <rPh sb="12" eb="14">
      <t>ハイスイ</t>
    </rPh>
    <rPh sb="14" eb="16">
      <t>ヒモン</t>
    </rPh>
    <rPh sb="16" eb="18">
      <t>ショウサイ</t>
    </rPh>
    <rPh sb="18" eb="20">
      <t>セッケイ</t>
    </rPh>
    <rPh sb="23" eb="25">
      <t>ギョウム</t>
    </rPh>
    <rPh sb="27" eb="29">
      <t>ヘイワ</t>
    </rPh>
    <rPh sb="29" eb="30">
      <t>キョウ</t>
    </rPh>
    <rPh sb="30" eb="33">
      <t>ユウスイチ</t>
    </rPh>
    <rPh sb="33" eb="35">
      <t>ハイスイ</t>
    </rPh>
    <rPh sb="35" eb="37">
      <t>ヒモン</t>
    </rPh>
    <rPh sb="39" eb="41">
      <t>ケンチク</t>
    </rPh>
    <rPh sb="41" eb="43">
      <t>シセツ</t>
    </rPh>
    <rPh sb="44" eb="46">
      <t>ズメン</t>
    </rPh>
    <rPh sb="46" eb="48">
      <t>モクロク</t>
    </rPh>
    <phoneticPr fontId="1"/>
  </si>
  <si>
    <t>令和4年度　千曲川遊水地排水樋門詳細設計その1業務　【平和橋遊水地排水樋門】　機電設備　図面目録(2)</t>
    <rPh sb="0" eb="2">
      <t>レイワ</t>
    </rPh>
    <rPh sb="3" eb="5">
      <t>ネンド</t>
    </rPh>
    <rPh sb="6" eb="9">
      <t>チクマガワ</t>
    </rPh>
    <rPh sb="9" eb="12">
      <t>ユウスイチ</t>
    </rPh>
    <rPh sb="12" eb="14">
      <t>ハイスイ</t>
    </rPh>
    <rPh sb="14" eb="16">
      <t>ヒモン</t>
    </rPh>
    <rPh sb="16" eb="18">
      <t>ショウサイ</t>
    </rPh>
    <rPh sb="18" eb="20">
      <t>セッケイ</t>
    </rPh>
    <rPh sb="23" eb="25">
      <t>ギョウム</t>
    </rPh>
    <rPh sb="27" eb="29">
      <t>ヘイワ</t>
    </rPh>
    <rPh sb="29" eb="30">
      <t>キョウ</t>
    </rPh>
    <rPh sb="30" eb="33">
      <t>ユウスイチ</t>
    </rPh>
    <rPh sb="33" eb="35">
      <t>ハイスイ</t>
    </rPh>
    <rPh sb="35" eb="37">
      <t>ヒモン</t>
    </rPh>
    <rPh sb="39" eb="41">
      <t>キデン</t>
    </rPh>
    <rPh sb="41" eb="43">
      <t>セツビ</t>
    </rPh>
    <rPh sb="44" eb="46">
      <t>ズメン</t>
    </rPh>
    <rPh sb="46" eb="48">
      <t>モクロク</t>
    </rPh>
    <phoneticPr fontId="1"/>
  </si>
  <si>
    <t>位置図</t>
    <rPh sb="0" eb="2">
      <t>イチ</t>
    </rPh>
    <rPh sb="2" eb="3">
      <t>ズ</t>
    </rPh>
    <phoneticPr fontId="10"/>
  </si>
  <si>
    <t>1:2500</t>
    <phoneticPr fontId="10"/>
  </si>
  <si>
    <t>平面図</t>
    <rPh sb="0" eb="3">
      <t>ヘイメンズ</t>
    </rPh>
    <phoneticPr fontId="10"/>
  </si>
  <si>
    <t>1:500</t>
    <phoneticPr fontId="10"/>
  </si>
  <si>
    <t>囲繞堤縦断図</t>
    <rPh sb="0" eb="3">
      <t>イニョウ</t>
    </rPh>
    <rPh sb="3" eb="5">
      <t>ジュウダン</t>
    </rPh>
    <rPh sb="5" eb="6">
      <t>ズ</t>
    </rPh>
    <phoneticPr fontId="10"/>
  </si>
  <si>
    <t>V=1:100,H=1:1000</t>
    <phoneticPr fontId="10"/>
  </si>
  <si>
    <t>囲繞堤標準横断図</t>
    <rPh sb="0" eb="3">
      <t>イニョ</t>
    </rPh>
    <rPh sb="3" eb="5">
      <t>ヒョウジュン</t>
    </rPh>
    <rPh sb="5" eb="8">
      <t>オウダンズ</t>
    </rPh>
    <phoneticPr fontId="10"/>
  </si>
  <si>
    <t>平和橋遊水地排水樋門一般図(1)</t>
    <rPh sb="0" eb="2">
      <t>ヘイワ</t>
    </rPh>
    <rPh sb="2" eb="3">
      <t>キョウ</t>
    </rPh>
    <rPh sb="3" eb="6">
      <t>ユウスイチ</t>
    </rPh>
    <rPh sb="6" eb="8">
      <t>ハイスイ</t>
    </rPh>
    <rPh sb="8" eb="10">
      <t>ヒモン</t>
    </rPh>
    <rPh sb="10" eb="12">
      <t>イッパン</t>
    </rPh>
    <rPh sb="12" eb="13">
      <t>ズ</t>
    </rPh>
    <phoneticPr fontId="10"/>
  </si>
  <si>
    <t>平和橋遊水地排水樋門一般図(2)</t>
    <rPh sb="0" eb="2">
      <t>ヘイワ</t>
    </rPh>
    <rPh sb="2" eb="3">
      <t>キョウ</t>
    </rPh>
    <rPh sb="3" eb="6">
      <t>ユウスイチ</t>
    </rPh>
    <rPh sb="6" eb="8">
      <t>ハイスイ</t>
    </rPh>
    <rPh sb="8" eb="10">
      <t>ヒモン</t>
    </rPh>
    <rPh sb="10" eb="12">
      <t>イッパン</t>
    </rPh>
    <rPh sb="12" eb="13">
      <t>ズ</t>
    </rPh>
    <phoneticPr fontId="10"/>
  </si>
  <si>
    <t>令和4年度　千曲川遊水地排水樋門詳細設計その1業務　【平和橋遊水地排水樋門】　土木施設　図面目録(2)</t>
    <rPh sb="0" eb="2">
      <t>レイワ</t>
    </rPh>
    <rPh sb="3" eb="5">
      <t>ネンド</t>
    </rPh>
    <rPh sb="6" eb="9">
      <t>チクマガワ</t>
    </rPh>
    <rPh sb="9" eb="12">
      <t>ユウスイチ</t>
    </rPh>
    <rPh sb="12" eb="14">
      <t>ハイスイ</t>
    </rPh>
    <rPh sb="14" eb="16">
      <t>ヒモン</t>
    </rPh>
    <rPh sb="16" eb="18">
      <t>ショウサイ</t>
    </rPh>
    <rPh sb="18" eb="20">
      <t>セッケイ</t>
    </rPh>
    <rPh sb="23" eb="25">
      <t>ギョウム</t>
    </rPh>
    <rPh sb="27" eb="29">
      <t>ヘイワ</t>
    </rPh>
    <rPh sb="29" eb="30">
      <t>キョウ</t>
    </rPh>
    <rPh sb="30" eb="33">
      <t>ユウスイチ</t>
    </rPh>
    <rPh sb="33" eb="35">
      <t>ハイスイ</t>
    </rPh>
    <rPh sb="35" eb="37">
      <t>ヒモン</t>
    </rPh>
    <rPh sb="39" eb="41">
      <t>ドボク</t>
    </rPh>
    <rPh sb="41" eb="43">
      <t>シセツ</t>
    </rPh>
    <rPh sb="44" eb="46">
      <t>ズメン</t>
    </rPh>
    <rPh sb="46" eb="48">
      <t>モクロク</t>
    </rPh>
    <phoneticPr fontId="1"/>
  </si>
  <si>
    <t>1:60</t>
    <phoneticPr fontId="1"/>
  </si>
  <si>
    <t>管理橋受台構造図</t>
    <phoneticPr fontId="1"/>
  </si>
  <si>
    <t>樋門本体工配筋図(1)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</si>
  <si>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樋門本体工配筋図(2)</t>
    <rPh sb="5" eb="8">
      <t>ハイキンズ</t>
    </rPh>
    <phoneticPr fontId="1"/>
  </si>
  <si>
    <t>樋門本体工配筋図(3)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</si>
  <si>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樋門本体工配筋図(4)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</si>
  <si>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樋門本体工配筋図(5)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</si>
  <si>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樋門本体工配筋図(6)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</si>
  <si>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樋門本体工配筋図(7)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</si>
  <si>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樋門本体工配筋図(8)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</si>
  <si>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樋門本体工配筋図(9)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</si>
  <si>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樋門本体工配筋図(10)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</si>
  <si>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樋門本体工配筋図(11)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</si>
  <si>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樋門本体工配筋図(12)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</si>
  <si>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樋門本体工配筋図(13)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</si>
  <si>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樋門本体工配筋図(14)</t>
    <rPh sb="0" eb="2">
      <t>ヒモン</t>
    </rPh>
    <rPh sb="2" eb="4">
      <t>ホンタイ</t>
    </rPh>
    <rPh sb="4" eb="5">
      <t>コウ</t>
    </rPh>
    <rPh sb="5" eb="8">
      <t>ハイキンズ</t>
    </rPh>
    <phoneticPr fontId="1"/>
  </si>
  <si>
    <t>護岸工構造図(1)</t>
    <rPh sb="0" eb="3">
      <t>ゴガンコウ</t>
    </rPh>
    <rPh sb="3" eb="5">
      <t>コウゾウ</t>
    </rPh>
    <rPh sb="5" eb="6">
      <t>ズ</t>
    </rPh>
    <phoneticPr fontId="1"/>
  </si>
  <si>
    <t>護岸工構造図(2)</t>
    <rPh sb="0" eb="3">
      <t>ゴガンコウ</t>
    </rPh>
    <rPh sb="3" eb="5">
      <t>コウゾウ</t>
    </rPh>
    <rPh sb="5" eb="6">
      <t>ズ</t>
    </rPh>
    <phoneticPr fontId="1"/>
  </si>
  <si>
    <t>堤外水路計画一般図</t>
    <rPh sb="0" eb="2">
      <t>テイガイ</t>
    </rPh>
    <rPh sb="2" eb="4">
      <t>スイロ</t>
    </rPh>
    <rPh sb="4" eb="6">
      <t>ケイカク</t>
    </rPh>
    <rPh sb="6" eb="8">
      <t>イッパン</t>
    </rPh>
    <rPh sb="8" eb="9">
      <t>ズ</t>
    </rPh>
    <phoneticPr fontId="1"/>
  </si>
  <si>
    <t>1:150</t>
    <phoneticPr fontId="1"/>
  </si>
  <si>
    <t>堤外水路護岸工詳細図(1)</t>
    <rPh sb="0" eb="2">
      <t>テイガイ</t>
    </rPh>
    <rPh sb="2" eb="4">
      <t>スイロ</t>
    </rPh>
    <rPh sb="4" eb="7">
      <t>ゴガンコウ</t>
    </rPh>
    <rPh sb="7" eb="10">
      <t>ショウサイズ</t>
    </rPh>
    <phoneticPr fontId="1"/>
  </si>
  <si>
    <t>堤外水路護岸工詳細図(2)</t>
    <rPh sb="0" eb="2">
      <t>テイガイ</t>
    </rPh>
    <rPh sb="2" eb="4">
      <t>スイロ</t>
    </rPh>
    <rPh sb="4" eb="7">
      <t>ゴガンコウ</t>
    </rPh>
    <rPh sb="7" eb="10">
      <t>ショウサイズ</t>
    </rPh>
    <phoneticPr fontId="1"/>
  </si>
  <si>
    <t>図示</t>
    <phoneticPr fontId="1"/>
  </si>
  <si>
    <t>囲繞堤土工平面図</t>
    <rPh sb="0" eb="3">
      <t>イニョ</t>
    </rPh>
    <rPh sb="3" eb="5">
      <t>ドコウ</t>
    </rPh>
    <rPh sb="5" eb="8">
      <t>ヘイメンズ</t>
    </rPh>
    <phoneticPr fontId="1"/>
  </si>
  <si>
    <t>囲繞堤横断図</t>
    <rPh sb="0" eb="3">
      <t>イニョウ</t>
    </rPh>
    <rPh sb="3" eb="6">
      <t>オウダンズ</t>
    </rPh>
    <phoneticPr fontId="10"/>
  </si>
  <si>
    <t>堤外水路土工図(1)</t>
    <rPh sb="0" eb="2">
      <t>テイガイ</t>
    </rPh>
    <rPh sb="2" eb="4">
      <t>スイロ</t>
    </rPh>
    <rPh sb="4" eb="6">
      <t>ドコウ</t>
    </rPh>
    <rPh sb="6" eb="7">
      <t>ズ</t>
    </rPh>
    <phoneticPr fontId="1"/>
  </si>
  <si>
    <t>堤外水路土工図(2)</t>
    <rPh sb="0" eb="2">
      <t>テイガイ</t>
    </rPh>
    <rPh sb="2" eb="4">
      <t>スイロ</t>
    </rPh>
    <rPh sb="4" eb="6">
      <t>ドコウ</t>
    </rPh>
    <rPh sb="6" eb="7">
      <t>ズ</t>
    </rPh>
    <phoneticPr fontId="1"/>
  </si>
  <si>
    <t>仮設工全体平面図</t>
    <rPh sb="0" eb="2">
      <t>カセツ</t>
    </rPh>
    <rPh sb="2" eb="3">
      <t>コウ</t>
    </rPh>
    <rPh sb="3" eb="5">
      <t>ゼンタイ</t>
    </rPh>
    <rPh sb="5" eb="8">
      <t>ヘイメンズ</t>
    </rPh>
    <phoneticPr fontId="1"/>
  </si>
  <si>
    <t>函体構造図(1)</t>
    <phoneticPr fontId="1"/>
  </si>
  <si>
    <t>1:30</t>
  </si>
  <si>
    <t>1:30</t>
    <phoneticPr fontId="1"/>
  </si>
  <si>
    <t>函体構造図(2)</t>
    <phoneticPr fontId="1"/>
  </si>
  <si>
    <t>函体構造図(3)</t>
  </si>
  <si>
    <t>函体構造図(4)</t>
  </si>
  <si>
    <t>函体構造図(5)</t>
  </si>
  <si>
    <t>接続部FBゴム配置図</t>
    <phoneticPr fontId="1"/>
  </si>
  <si>
    <t>函体標準配筋図</t>
    <phoneticPr fontId="1"/>
  </si>
  <si>
    <t>PC鋼材加工図</t>
    <phoneticPr fontId="1"/>
  </si>
  <si>
    <t>グラウトホール・アンカーボルト用孔配置図</t>
    <phoneticPr fontId="1"/>
  </si>
  <si>
    <t>函体施工手順図(参考図)</t>
    <rPh sb="0" eb="2">
      <t>カンタイ</t>
    </rPh>
    <rPh sb="2" eb="4">
      <t>セコウ</t>
    </rPh>
    <rPh sb="4" eb="6">
      <t>テジュン</t>
    </rPh>
    <rPh sb="6" eb="7">
      <t>ズ</t>
    </rPh>
    <rPh sb="8" eb="11">
      <t>サンコウズ</t>
    </rPh>
    <phoneticPr fontId="1"/>
  </si>
  <si>
    <t>函体横振れ制御構造図(参考図)</t>
    <rPh sb="0" eb="2">
      <t>カンタイ</t>
    </rPh>
    <rPh sb="2" eb="4">
      <t>ヨコフ</t>
    </rPh>
    <rPh sb="5" eb="7">
      <t>セイギョ</t>
    </rPh>
    <rPh sb="7" eb="10">
      <t>コウゾウズ</t>
    </rPh>
    <rPh sb="11" eb="14">
      <t>サンコウズ</t>
    </rPh>
    <phoneticPr fontId="1"/>
  </si>
  <si>
    <t>建築先入れアンカー配置図(参考図)</t>
    <rPh sb="0" eb="2">
      <t>ケンチク</t>
    </rPh>
    <rPh sb="2" eb="4">
      <t>サキイ</t>
    </rPh>
    <rPh sb="9" eb="11">
      <t>ハイチ</t>
    </rPh>
    <rPh sb="11" eb="12">
      <t>ズ</t>
    </rPh>
    <rPh sb="13" eb="16">
      <t>サンコウズ</t>
    </rPh>
    <phoneticPr fontId="1"/>
  </si>
  <si>
    <t>-</t>
    <phoneticPr fontId="1"/>
  </si>
  <si>
    <t>樋門土工図(3)</t>
    <rPh sb="0" eb="2">
      <t>ヒモン</t>
    </rPh>
    <rPh sb="2" eb="4">
      <t>ドコウ</t>
    </rPh>
    <rPh sb="4" eb="5">
      <t>ズ</t>
    </rPh>
    <phoneticPr fontId="1"/>
  </si>
  <si>
    <t>樋門土工図(4)</t>
    <rPh sb="0" eb="2">
      <t>ヒモン</t>
    </rPh>
    <rPh sb="2" eb="4">
      <t>ドコウ</t>
    </rPh>
    <rPh sb="4" eb="5">
      <t>ズ</t>
    </rPh>
    <phoneticPr fontId="1"/>
  </si>
  <si>
    <t>施工段階図(8)</t>
    <rPh sb="0" eb="2">
      <t>セコウ</t>
    </rPh>
    <rPh sb="2" eb="4">
      <t>ダンカイ</t>
    </rPh>
    <rPh sb="4" eb="5">
      <t>ズ</t>
    </rPh>
    <phoneticPr fontId="1"/>
  </si>
  <si>
    <t>施工段階図(9)</t>
    <rPh sb="0" eb="2">
      <t>セコウ</t>
    </rPh>
    <rPh sb="2" eb="4">
      <t>ダンカイ</t>
    </rPh>
    <rPh sb="4" eb="5">
      <t>ズ</t>
    </rPh>
    <phoneticPr fontId="1"/>
  </si>
  <si>
    <t>施工段階図(10)</t>
    <rPh sb="0" eb="2">
      <t>セコウ</t>
    </rPh>
    <rPh sb="2" eb="4">
      <t>ダンカイ</t>
    </rPh>
    <rPh sb="4" eb="5">
      <t>ズ</t>
    </rPh>
    <phoneticPr fontId="1"/>
  </si>
  <si>
    <t>施工段階図(11)</t>
    <rPh sb="0" eb="2">
      <t>セコウ</t>
    </rPh>
    <rPh sb="2" eb="4">
      <t>ダンカイ</t>
    </rPh>
    <rPh sb="4" eb="5">
      <t>ズ</t>
    </rPh>
    <phoneticPr fontId="1"/>
  </si>
  <si>
    <t>施工段階図(12)</t>
    <rPh sb="0" eb="2">
      <t>セコウ</t>
    </rPh>
    <rPh sb="2" eb="4">
      <t>ダンカイ</t>
    </rPh>
    <rPh sb="4" eb="5">
      <t>ズ</t>
    </rPh>
    <phoneticPr fontId="1"/>
  </si>
  <si>
    <t>遮水壁部接続詳細図</t>
    <phoneticPr fontId="1"/>
  </si>
  <si>
    <t>川表側現場打接合部詳細図</t>
    <rPh sb="0" eb="1">
      <t>カワ</t>
    </rPh>
    <rPh sb="1" eb="3">
      <t>オモテガワ</t>
    </rPh>
    <rPh sb="3" eb="6">
      <t>ゲンバウチ</t>
    </rPh>
    <rPh sb="6" eb="8">
      <t>セツゴウ</t>
    </rPh>
    <rPh sb="8" eb="9">
      <t>ブ</t>
    </rPh>
    <rPh sb="9" eb="12">
      <t>ショウサイズ</t>
    </rPh>
    <phoneticPr fontId="1"/>
  </si>
  <si>
    <t>川裏側現場打接合部詳細図</t>
    <rPh sb="0" eb="1">
      <t>カワ</t>
    </rPh>
    <rPh sb="1" eb="3">
      <t>ウラガワ</t>
    </rPh>
    <rPh sb="3" eb="6">
      <t>ゲンバウチ</t>
    </rPh>
    <rPh sb="6" eb="8">
      <t>セツゴウ</t>
    </rPh>
    <rPh sb="8" eb="9">
      <t>ブ</t>
    </rPh>
    <rPh sb="9" eb="12">
      <t>ショウサイズ</t>
    </rPh>
    <phoneticPr fontId="1"/>
  </si>
  <si>
    <t>施工段階図(13)</t>
    <rPh sb="0" eb="2">
      <t>セコウ</t>
    </rPh>
    <rPh sb="2" eb="4">
      <t>ダンカイ</t>
    </rPh>
    <rPh sb="4" eb="5">
      <t>ズ</t>
    </rPh>
    <phoneticPr fontId="1"/>
  </si>
  <si>
    <t>施工段階図(14)</t>
    <rPh sb="0" eb="2">
      <t>セコウ</t>
    </rPh>
    <rPh sb="2" eb="4">
      <t>ダンカイ</t>
    </rPh>
    <rPh sb="4" eb="5">
      <t>ズ</t>
    </rPh>
    <phoneticPr fontId="1"/>
  </si>
  <si>
    <t>施工段階図(15)</t>
    <rPh sb="0" eb="2">
      <t>セコウ</t>
    </rPh>
    <rPh sb="2" eb="4">
      <t>ダンカイ</t>
    </rPh>
    <rPh sb="4" eb="5">
      <t>ズ</t>
    </rPh>
    <phoneticPr fontId="1"/>
  </si>
  <si>
    <t>施工段階図(16)</t>
    <rPh sb="0" eb="2">
      <t>セコウ</t>
    </rPh>
    <rPh sb="2" eb="4">
      <t>ダンカイ</t>
    </rPh>
    <rPh sb="4" eb="5">
      <t>ズ</t>
    </rPh>
    <phoneticPr fontId="1"/>
  </si>
  <si>
    <t>底面摩擦低減工図(参考図)</t>
    <phoneticPr fontId="1"/>
  </si>
  <si>
    <t>可とう矢板詳細図(1)</t>
    <rPh sb="0" eb="1">
      <t>カ</t>
    </rPh>
    <rPh sb="3" eb="5">
      <t>ヤイタ</t>
    </rPh>
    <rPh sb="5" eb="8">
      <t>ショウサイズ</t>
    </rPh>
    <phoneticPr fontId="1"/>
  </si>
  <si>
    <t>可とう矢板詳細図(2)</t>
    <rPh sb="0" eb="1">
      <t>カ</t>
    </rPh>
    <rPh sb="3" eb="5">
      <t>ヤイタ</t>
    </rPh>
    <rPh sb="5" eb="8">
      <t>ショウサイズ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</si>
</sst>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12" x14ac:knownFonts="1">
    <font>
      <sz val="1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HG丸ｺﾞｼｯｸM-PRO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sz val="11"/>
      <color indexed="12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0" xfId="0" applyFont="1" applyFill="1"/>
    <xf numFmtId="0" fontId="8" fillId="2" borderId="1" xfId="0" applyFont="1" applyFill="1" applyBorder="1" applyAlignment="1">
      <alignment horizontal="left" vertical="center" indent="2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2" fillId="2" borderId="5" xfId="0" applyFont="1" applyFill="1" applyBorder="1"/>
    <xf numFmtId="0" fontId="0" fillId="2" borderId="6" xfId="0" applyFill="1" applyBorder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9" fillId="2" borderId="5" xfId="0" applyFont="1" applyFill="1" applyBorder="1" applyAlignment="1">
      <alignment horizontal="right" vertical="center" textRotation="255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176" fontId="4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textRotation="255"/>
    </xf>
    <xf numFmtId="0" fontId="0" fillId="2" borderId="6" xfId="0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textRotation="255"/>
    </xf>
    <xf numFmtId="0" fontId="5" fillId="2" borderId="0" xfId="0" applyFont="1" applyFill="1" applyAlignment="1">
      <alignment horizontal="right" vertical="center" textRotation="255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2" fillId="2" borderId="10" xfId="0" applyFont="1" applyFill="1" applyBorder="1" applyAlignment="1">
      <alignment horizontal="center" vertical="center"/>
    </xf>
    <xf numFmtId="49" fontId="8" fillId="2" borderId="11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indent="2"/>
    </xf>
    <xf numFmtId="49" fontId="8" fillId="2" borderId="0" xfId="0" applyNumberFormat="1" applyFont="1" applyFill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2"/>
    </xf>
    <xf numFmtId="0" fontId="4" fillId="2" borderId="1" xfId="0" applyFont="1" applyFill="1" applyBorder="1" applyAlignment="1">
      <alignment horizontal="center" vertical="center" shrinkToFit="1"/>
    </xf>
    <xf numFmtId="176" fontId="11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176" fontId="11" fillId="0" borderId="1" xfId="0" applyNumberFormat="1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 indent="2"/>
    </xf>
    <xf numFmtId="49" fontId="8" fillId="2" borderId="17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 indent="2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2" borderId="21" xfId="0" applyFont="1" applyFill="1" applyBorder="1"/>
    <xf numFmtId="0" fontId="4" fillId="0" borderId="1" xfId="0" applyFont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99FFCC"/>
      <color rgb="FF99FF99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"/>
  <sheetViews>
    <sheetView showGridLines="0" tabSelected="1" view="pageBreakPreview" topLeftCell="B36" zoomScaleNormal="100" zoomScaleSheetLayoutView="100" workbookViewId="0">
      <selection activeCell="C71" sqref="C71"/>
    </sheetView>
  </sheetViews>
  <sheetFormatPr defaultRowHeight="13.5" x14ac:dyDescent="0.15"/>
  <cols>
    <col min="1" max="1" width="3.5" style="1" customWidth="1"/>
    <col min="2" max="2" width="4.625" style="1" customWidth="1"/>
    <col min="3" max="3" width="9" style="1"/>
    <col min="4" max="4" width="42.625" style="1" customWidth="1"/>
    <col min="5" max="5" width="10.625" style="1" customWidth="1"/>
    <col min="6" max="6" width="8.625" style="1" customWidth="1"/>
    <col min="7" max="7" width="5.25" style="1" customWidth="1"/>
    <col min="8" max="8" width="9" style="1"/>
    <col min="9" max="9" width="42.625" style="1" customWidth="1"/>
    <col min="10" max="10" width="10.625" style="7" customWidth="1"/>
    <col min="11" max="11" width="8.625" style="7" customWidth="1"/>
    <col min="12" max="12" width="4.375" style="7" customWidth="1"/>
    <col min="13" max="16" width="4.75" style="7" customWidth="1"/>
    <col min="17" max="17" width="17.25" style="7" bestFit="1" customWidth="1"/>
    <col min="18" max="18" width="9" style="7"/>
    <col min="19" max="19" width="3.5" style="7" bestFit="1" customWidth="1"/>
    <col min="20" max="20" width="29.5" style="7" bestFit="1" customWidth="1"/>
    <col min="21" max="21" width="6.5" style="7" bestFit="1" customWidth="1"/>
    <col min="22" max="16384" width="9" style="7"/>
  </cols>
  <sheetData>
    <row r="1" spans="2:14" ht="14.25" thickBot="1" x14ac:dyDescent="0.2">
      <c r="B1" s="3"/>
      <c r="C1" s="4"/>
      <c r="D1" s="4"/>
      <c r="E1" s="4"/>
      <c r="F1" s="4"/>
      <c r="G1" s="4"/>
      <c r="H1" s="4"/>
      <c r="I1" s="4"/>
      <c r="J1" s="5"/>
      <c r="K1" s="5"/>
      <c r="L1" s="6"/>
    </row>
    <row r="2" spans="2:14" ht="30" customHeight="1" thickBot="1" x14ac:dyDescent="0.2">
      <c r="B2" s="8"/>
      <c r="C2" s="58" t="s">
        <v>79</v>
      </c>
      <c r="D2" s="59"/>
      <c r="E2" s="59"/>
      <c r="F2" s="59"/>
      <c r="G2" s="59"/>
      <c r="H2" s="59"/>
      <c r="I2" s="59"/>
      <c r="J2" s="59"/>
      <c r="K2" s="60"/>
      <c r="L2" s="9"/>
    </row>
    <row r="3" spans="2:14" ht="11.25" customHeight="1" x14ac:dyDescent="0.15">
      <c r="B3" s="8"/>
      <c r="C3" s="10"/>
      <c r="D3" s="10"/>
      <c r="E3" s="10"/>
      <c r="F3" s="10"/>
      <c r="G3" s="10"/>
      <c r="H3" s="10"/>
      <c r="I3" s="10"/>
      <c r="J3" s="11"/>
      <c r="K3" s="11"/>
      <c r="L3" s="12"/>
      <c r="M3" s="11"/>
      <c r="N3" s="11"/>
    </row>
    <row r="4" spans="2:14" ht="22.5" customHeight="1" x14ac:dyDescent="0.15">
      <c r="B4" s="13"/>
      <c r="C4" s="14" t="s">
        <v>0</v>
      </c>
      <c r="D4" s="14" t="s">
        <v>1</v>
      </c>
      <c r="E4" s="14" t="s">
        <v>2</v>
      </c>
      <c r="F4" s="14" t="s">
        <v>3</v>
      </c>
      <c r="G4" s="15"/>
      <c r="H4" s="14" t="s">
        <v>0</v>
      </c>
      <c r="I4" s="14" t="s">
        <v>1</v>
      </c>
      <c r="J4" s="14" t="s">
        <v>2</v>
      </c>
      <c r="K4" s="14" t="s">
        <v>3</v>
      </c>
      <c r="L4" s="16"/>
      <c r="M4" s="17"/>
      <c r="N4" s="17"/>
    </row>
    <row r="5" spans="2:14" ht="15.75" customHeight="1" x14ac:dyDescent="0.15">
      <c r="B5" s="18"/>
      <c r="C5" s="19">
        <v>1</v>
      </c>
      <c r="D5" s="20" t="str">
        <f>IF(OR(C5=0,C5=""),"",VLOOKUP(C5,$C$89:$E$230,2,FALSE))</f>
        <v>位置図</v>
      </c>
      <c r="E5" s="19" t="str">
        <f>IF(OR(C5=0,C5=""),"",VLOOKUP(C5,$C$89:$E$230,3,FALSE))</f>
        <v>1:2500</v>
      </c>
      <c r="F5" s="42">
        <f>IF(OR(C5=0,C5=""),"",VLOOKUP(C5,$C$89:$F$228,4,FALSE))</f>
        <v>0</v>
      </c>
      <c r="G5" s="22"/>
      <c r="H5" s="43">
        <f>C37+1</f>
        <v>34</v>
      </c>
      <c r="I5" s="44" t="str">
        <f>IF(OR(H5=0,H5=""),"",VLOOKUP(H5,$C$89:$E$230,2,FALSE))</f>
        <v>樋門本体工配筋図(6)</v>
      </c>
      <c r="J5" s="43" t="str">
        <f>IF(OR(H5=0,H5=""),"",VLOOKUP(H5,$C$89:$E$230,3,FALSE))</f>
        <v>1:50</v>
      </c>
      <c r="K5" s="45">
        <f>IF(OR(H5=0,H5=""),"",VLOOKUP(H5,$C$89:$F$230,4,FALSE))</f>
        <v>0</v>
      </c>
      <c r="L5" s="23"/>
      <c r="M5" s="17"/>
      <c r="N5" s="17"/>
    </row>
    <row r="6" spans="2:14" ht="15.75" customHeight="1" x14ac:dyDescent="0.15">
      <c r="B6" s="18"/>
      <c r="C6" s="43">
        <f t="shared" ref="C6:C37" si="0">C5+1</f>
        <v>2</v>
      </c>
      <c r="D6" s="44" t="str">
        <f>IF(OR(C6=0,C6=""),"",VLOOKUP(C6,$C$89:$E$230,2,FALSE))</f>
        <v>平面図</v>
      </c>
      <c r="E6" s="43" t="str">
        <f>IF(OR(C6=0,C6=""),"",VLOOKUP(C6,$C$89:$E$230,3,FALSE))</f>
        <v>1:500</v>
      </c>
      <c r="F6" s="45">
        <f>IF(OR(C6=0,C6=""),"",VLOOKUP(C6,$C$89:$F$228,4,FALSE))</f>
        <v>0</v>
      </c>
      <c r="G6" s="22"/>
      <c r="H6" s="43">
        <f t="shared" ref="H6:H37" si="1">H5+1</f>
        <v>35</v>
      </c>
      <c r="I6" s="44" t="str">
        <f>IF(OR(H6=0,H6=""),"",VLOOKUP(H6,$C$89:$E$230,2,FALSE))</f>
        <v>樋門本体工配筋図(7)</v>
      </c>
      <c r="J6" s="43" t="str">
        <f>IF(OR(H6=0,H6=""),"",VLOOKUP(H6,$C$89:$E$230,3,FALSE))</f>
        <v>1:50</v>
      </c>
      <c r="K6" s="45">
        <f>IF(OR(H6=0,H6=""),"",VLOOKUP(H6,$C$89:$F$230,4,FALSE))</f>
        <v>0</v>
      </c>
      <c r="L6" s="23"/>
      <c r="M6" s="17"/>
      <c r="N6" s="17"/>
    </row>
    <row r="7" spans="2:14" ht="15.75" customHeight="1" x14ac:dyDescent="0.15">
      <c r="B7" s="24"/>
      <c r="C7" s="43">
        <f t="shared" si="0"/>
        <v>3</v>
      </c>
      <c r="D7" s="44" t="str">
        <f>IF(OR(C7=0,C7=""),"",VLOOKUP(C7,$C$89:$E$230,2,FALSE))</f>
        <v>囲繞堤縦断図</v>
      </c>
      <c r="E7" s="57" t="str">
        <f>IF(OR(C7=0,C7=""),"",VLOOKUP(C7,$C$89:$E$230,3,FALSE))</f>
        <v>V=1:100,H=1:1000</v>
      </c>
      <c r="F7" s="45">
        <f>IF(OR(C7=0,C7=""),"",VLOOKUP(C7,$C$89:$F$228,4,FALSE))</f>
        <v>0</v>
      </c>
      <c r="G7" s="22"/>
      <c r="H7" s="43">
        <f t="shared" si="1"/>
        <v>36</v>
      </c>
      <c r="I7" s="44" t="str">
        <f>IF(OR(H7=0,H7=""),"",VLOOKUP(H7,$C$89:$E$230,2,FALSE))</f>
        <v>樋門本体工配筋図(8)</v>
      </c>
      <c r="J7" s="43" t="str">
        <f>IF(OR(H7=0,H7=""),"",VLOOKUP(H7,$C$89:$E$230,3,FALSE))</f>
        <v>1:50</v>
      </c>
      <c r="K7" s="45">
        <f>IF(OR(H7=0,H7=""),"",VLOOKUP(H7,$C$89:$F$230,4,FALSE))</f>
        <v>0</v>
      </c>
      <c r="L7" s="23"/>
      <c r="M7" s="17"/>
      <c r="N7" s="17"/>
    </row>
    <row r="8" spans="2:14" ht="15.75" customHeight="1" x14ac:dyDescent="0.15">
      <c r="B8" s="24"/>
      <c r="C8" s="43">
        <f t="shared" si="0"/>
        <v>4</v>
      </c>
      <c r="D8" s="44" t="str">
        <f>IF(OR(C8=0,C8=""),"",VLOOKUP(C8,$C$89:$E$230,2,FALSE))</f>
        <v>囲繞堤標準横断図</v>
      </c>
      <c r="E8" s="43" t="str">
        <f>IF(OR(C8=0,C8=""),"",VLOOKUP(C8,$C$89:$E$230,3,FALSE))</f>
        <v>1:100</v>
      </c>
      <c r="F8" s="45">
        <f>IF(OR(C8=0,C8=""),"",VLOOKUP(C8,$C$89:$F$228,4,FALSE))</f>
        <v>0</v>
      </c>
      <c r="G8" s="22"/>
      <c r="H8" s="43">
        <f t="shared" si="1"/>
        <v>37</v>
      </c>
      <c r="I8" s="44" t="str">
        <f>IF(OR(H8=0,H8=""),"",VLOOKUP(H8,$C$89:$E$230,2,FALSE))</f>
        <v>樋門本体工配筋図(9)</v>
      </c>
      <c r="J8" s="43" t="str">
        <f>IF(OR(H8=0,H8=""),"",VLOOKUP(H8,$C$89:$E$230,3,FALSE))</f>
        <v>1:50</v>
      </c>
      <c r="K8" s="45">
        <f>IF(OR(H8=0,H8=""),"",VLOOKUP(H8,$C$89:$F$230,4,FALSE))</f>
        <v>0</v>
      </c>
      <c r="L8" s="23"/>
      <c r="M8" s="17"/>
      <c r="N8" s="17"/>
    </row>
    <row r="9" spans="2:14" ht="15.75" customHeight="1" x14ac:dyDescent="0.15">
      <c r="B9" s="24"/>
      <c r="C9" s="43">
        <f t="shared" si="0"/>
        <v>5</v>
      </c>
      <c r="D9" s="44" t="str">
        <f>IF(OR(C9=0,C9=""),"",VLOOKUP(C9,$C$89:$E$230,2,FALSE))</f>
        <v>囲繞堤横断図</v>
      </c>
      <c r="E9" s="43" t="str">
        <f>IF(OR(C9=0,C9=""),"",VLOOKUP(C9,$C$89:$E$230,3,FALSE))</f>
        <v>1:100</v>
      </c>
      <c r="F9" s="45">
        <f>IF(OR(C9=0,C9=""),"",VLOOKUP(C9,$C$89:$F$228,4,FALSE))</f>
        <v>0</v>
      </c>
      <c r="G9" s="22"/>
      <c r="H9" s="43">
        <f t="shared" si="1"/>
        <v>38</v>
      </c>
      <c r="I9" s="44" t="str">
        <f>IF(OR(H9=0,H9=""),"",VLOOKUP(H9,$C$89:$E$230,2,FALSE))</f>
        <v>樋門本体工配筋図(10)</v>
      </c>
      <c r="J9" s="43" t="str">
        <f>IF(OR(H9=0,H9=""),"",VLOOKUP(H9,$C$89:$E$230,3,FALSE))</f>
        <v>1:50</v>
      </c>
      <c r="K9" s="45">
        <f>IF(OR(H9=0,H9=""),"",VLOOKUP(H9,$C$89:$F$230,4,FALSE))</f>
        <v>0</v>
      </c>
      <c r="L9" s="23"/>
      <c r="M9" s="17"/>
      <c r="N9" s="17"/>
    </row>
    <row r="10" spans="2:14" ht="15.75" customHeight="1" x14ac:dyDescent="0.15">
      <c r="B10" s="24"/>
      <c r="C10" s="43">
        <f t="shared" si="0"/>
        <v>6</v>
      </c>
      <c r="D10" s="44" t="str">
        <f>IF(OR(C10=0,C10=""),"",VLOOKUP(C10,$C$89:$E$230,2,FALSE))</f>
        <v>平和橋遊水地排水樋門一般図(1)</v>
      </c>
      <c r="E10" s="43" t="str">
        <f>IF(OR(C10=0,C10=""),"",VLOOKUP(C10,$C$89:$E$230,3,FALSE))</f>
        <v>1:100</v>
      </c>
      <c r="F10" s="45">
        <f>IF(OR(C10=0,C10=""),"",VLOOKUP(C10,$C$89:$F$228,4,FALSE))</f>
        <v>0</v>
      </c>
      <c r="G10" s="22"/>
      <c r="H10" s="43">
        <f t="shared" si="1"/>
        <v>39</v>
      </c>
      <c r="I10" s="44" t="str">
        <f>IF(OR(H10=0,H10=""),"",VLOOKUP(H10,$C$89:$E$230,2,FALSE))</f>
        <v>樋門本体工配筋図(11)</v>
      </c>
      <c r="J10" s="43" t="str">
        <f>IF(OR(H10=0,H10=""),"",VLOOKUP(H10,$C$89:$E$230,3,FALSE))</f>
        <v>1:50</v>
      </c>
      <c r="K10" s="45">
        <f>IF(OR(H10=0,H10=""),"",VLOOKUP(H10,$C$89:$F$230,4,FALSE))</f>
        <v>0</v>
      </c>
      <c r="L10" s="23"/>
      <c r="M10" s="17"/>
      <c r="N10" s="17"/>
    </row>
    <row r="11" spans="2:14" ht="15.75" customHeight="1" x14ac:dyDescent="0.15">
      <c r="B11" s="24"/>
      <c r="C11" s="43">
        <f t="shared" si="0"/>
        <v>7</v>
      </c>
      <c r="D11" s="44" t="str">
        <f>IF(OR(C11=0,C11=""),"",VLOOKUP(C11,$C$89:$E$230,2,FALSE))</f>
        <v>平和橋遊水地排水樋門一般図(2)</v>
      </c>
      <c r="E11" s="43" t="str">
        <f>IF(OR(C11=0,C11=""),"",VLOOKUP(C11,$C$89:$E$230,3,FALSE))</f>
        <v>図示</v>
      </c>
      <c r="F11" s="45">
        <f>IF(OR(C11=0,C11=""),"",VLOOKUP(C11,$C$89:$F$228,4,FALSE))</f>
        <v>0</v>
      </c>
      <c r="G11" s="22"/>
      <c r="H11" s="43">
        <f t="shared" si="1"/>
        <v>40</v>
      </c>
      <c r="I11" s="44" t="str">
        <f>IF(OR(H11=0,H11=""),"",VLOOKUP(H11,$C$89:$E$230,2,FALSE))</f>
        <v>樋門本体工配筋図(12)</v>
      </c>
      <c r="J11" s="43" t="str">
        <f>IF(OR(H11=0,H11=""),"",VLOOKUP(H11,$C$89:$E$230,3,FALSE))</f>
        <v>1:50</v>
      </c>
      <c r="K11" s="45">
        <f>IF(OR(H11=0,H11=""),"",VLOOKUP(H11,$C$89:$F$230,4,FALSE))</f>
        <v>0</v>
      </c>
      <c r="L11" s="23"/>
      <c r="M11" s="17"/>
      <c r="N11" s="17"/>
    </row>
    <row r="12" spans="2:14" ht="15.75" customHeight="1" x14ac:dyDescent="0.15">
      <c r="B12" s="24"/>
      <c r="C12" s="43">
        <f t="shared" si="0"/>
        <v>8</v>
      </c>
      <c r="D12" s="44" t="str">
        <f>IF(OR(C12=0,C12=""),"",VLOOKUP(C12,$C$89:$E$230,2,FALSE))</f>
        <v>樋門本体工構造図(1)</v>
      </c>
      <c r="E12" s="43" t="str">
        <f>IF(OR(C12=0,C12=""),"",VLOOKUP(C12,$C$89:$E$230,3,FALSE))</f>
        <v>1:60</v>
      </c>
      <c r="F12" s="45">
        <f>IF(OR(C12=0,C12=""),"",VLOOKUP(C12,$C$89:$F$228,4,FALSE))</f>
        <v>0</v>
      </c>
      <c r="G12" s="22"/>
      <c r="H12" s="43">
        <f t="shared" si="1"/>
        <v>41</v>
      </c>
      <c r="I12" s="44" t="str">
        <f>IF(OR(H12=0,H12=""),"",VLOOKUP(H12,$C$89:$E$230,2,FALSE))</f>
        <v>樋門本体工配筋図(13)</v>
      </c>
      <c r="J12" s="43" t="str">
        <f>IF(OR(H12=0,H12=""),"",VLOOKUP(H12,$C$89:$E$230,3,FALSE))</f>
        <v>1:50</v>
      </c>
      <c r="K12" s="45">
        <f>IF(OR(H12=0,H12=""),"",VLOOKUP(H12,$C$89:$F$230,4,FALSE))</f>
        <v>0</v>
      </c>
      <c r="L12" s="23"/>
      <c r="M12" s="17"/>
      <c r="N12" s="17"/>
    </row>
    <row r="13" spans="2:14" ht="15.75" customHeight="1" x14ac:dyDescent="0.15">
      <c r="B13" s="24"/>
      <c r="C13" s="43">
        <f t="shared" si="0"/>
        <v>9</v>
      </c>
      <c r="D13" s="44" t="str">
        <f>IF(OR(C13=0,C13=""),"",VLOOKUP(C13,$C$89:$E$230,2,FALSE))</f>
        <v>樋門本体工構造図(2)</v>
      </c>
      <c r="E13" s="43" t="str">
        <f>IF(OR(C13=0,C13=""),"",VLOOKUP(C13,$C$89:$E$230,3,FALSE))</f>
        <v>1:60</v>
      </c>
      <c r="F13" s="45">
        <f>IF(OR(C13=0,C13=""),"",VLOOKUP(C13,$C$89:$F$228,4,FALSE))</f>
        <v>0</v>
      </c>
      <c r="G13" s="22"/>
      <c r="H13" s="19">
        <f t="shared" si="1"/>
        <v>42</v>
      </c>
      <c r="I13" s="20" t="str">
        <f>IF(OR(H13=0,H13=""),"",VLOOKUP(H13,$C$89:$E$230,2,FALSE))</f>
        <v>樋門本体工配筋図(14)</v>
      </c>
      <c r="J13" s="19" t="str">
        <f>IF(OR(H13=0,H13=""),"",VLOOKUP(H13,$C$89:$E$230,3,FALSE))</f>
        <v>1:50</v>
      </c>
      <c r="K13" s="42">
        <f>IF(OR(H13=0,H13=""),"",VLOOKUP(H13,$C$89:$F$230,4,FALSE))</f>
        <v>0</v>
      </c>
      <c r="L13" s="23"/>
      <c r="M13" s="17"/>
      <c r="N13" s="17"/>
    </row>
    <row r="14" spans="2:14" ht="15.75" customHeight="1" x14ac:dyDescent="0.15">
      <c r="B14" s="24"/>
      <c r="C14" s="43">
        <f t="shared" si="0"/>
        <v>10</v>
      </c>
      <c r="D14" s="44" t="str">
        <f>IF(OR(C14=0,C14=""),"",VLOOKUP(C14,$C$89:$E$230,2,FALSE))</f>
        <v>樋門本体工構造図(3)</v>
      </c>
      <c r="E14" s="43" t="str">
        <f>IF(OR(C14=0,C14=""),"",VLOOKUP(C14,$C$89:$E$230,3,FALSE))</f>
        <v>1:60</v>
      </c>
      <c r="F14" s="45">
        <f>IF(OR(C14=0,C14=""),"",VLOOKUP(C14,$C$89:$F$228,4,FALSE))</f>
        <v>0</v>
      </c>
      <c r="G14" s="25"/>
      <c r="H14" s="43">
        <f t="shared" si="1"/>
        <v>43</v>
      </c>
      <c r="I14" s="44" t="str">
        <f>IF(OR(H14=0,H14=""),"",VLOOKUP(H14,$C$89:$E$230,2,FALSE))</f>
        <v>川表翼壁配筋図(1)</v>
      </c>
      <c r="J14" s="43" t="str">
        <f>IF(OR(H14=0,H14=""),"",VLOOKUP(H14,$C$89:$E$230,3,FALSE))</f>
        <v>1:50</v>
      </c>
      <c r="K14" s="45">
        <f>IF(OR(H14=0,H14=""),"",VLOOKUP(H14,$C$89:$F$230,4,FALSE))</f>
        <v>0</v>
      </c>
      <c r="L14" s="23"/>
      <c r="M14" s="17"/>
      <c r="N14" s="17"/>
    </row>
    <row r="15" spans="2:14" ht="15.75" customHeight="1" x14ac:dyDescent="0.15">
      <c r="B15" s="24"/>
      <c r="C15" s="43">
        <f t="shared" si="0"/>
        <v>11</v>
      </c>
      <c r="D15" s="44" t="str">
        <f>IF(OR(C15=0,C15=""),"",VLOOKUP(C15,$C$89:$E$230,2,FALSE))</f>
        <v>川表翼壁構造図</v>
      </c>
      <c r="E15" s="43" t="str">
        <f>IF(OR(C15=0,C15=""),"",VLOOKUP(C15,$C$89:$E$230,3,FALSE))</f>
        <v>1:60</v>
      </c>
      <c r="F15" s="45">
        <f>IF(OR(C15=0,C15=""),"",VLOOKUP(C15,$C$89:$F$228,4,FALSE))</f>
        <v>0</v>
      </c>
      <c r="G15" s="25"/>
      <c r="H15" s="43">
        <f t="shared" si="1"/>
        <v>44</v>
      </c>
      <c r="I15" s="44" t="str">
        <f>IF(OR(H15=0,H15=""),"",VLOOKUP(H15,$C$89:$E$230,2,FALSE))</f>
        <v>川表翼壁配筋図(2)</v>
      </c>
      <c r="J15" s="43" t="str">
        <f>IF(OR(H15=0,H15=""),"",VLOOKUP(H15,$C$89:$E$230,3,FALSE))</f>
        <v>1:50</v>
      </c>
      <c r="K15" s="45">
        <f>IF(OR(H15=0,H15=""),"",VLOOKUP(H15,$C$89:$F$230,4,FALSE))</f>
        <v>0</v>
      </c>
      <c r="L15" s="23"/>
      <c r="M15" s="17"/>
      <c r="N15" s="17"/>
    </row>
    <row r="16" spans="2:14" ht="15.75" customHeight="1" x14ac:dyDescent="0.15">
      <c r="B16" s="24"/>
      <c r="C16" s="43">
        <f t="shared" si="0"/>
        <v>12</v>
      </c>
      <c r="D16" s="44" t="str">
        <f>IF(OR(C16=0,C16=""),"",VLOOKUP(C16,$C$89:$E$230,2,FALSE))</f>
        <v>川裏翼壁構造図</v>
      </c>
      <c r="E16" s="43" t="str">
        <f>IF(OR(C16=0,C16=""),"",VLOOKUP(C16,$C$89:$E$230,3,FALSE))</f>
        <v>1:60</v>
      </c>
      <c r="F16" s="45">
        <f>IF(OR(C16=0,C16=""),"",VLOOKUP(C16,$C$89:$F$228,4,FALSE))</f>
        <v>0</v>
      </c>
      <c r="G16" s="25"/>
      <c r="H16" s="43">
        <f t="shared" si="1"/>
        <v>45</v>
      </c>
      <c r="I16" s="44" t="str">
        <f>IF(OR(H16=0,H16=""),"",VLOOKUP(H16,$C$89:$E$230,2,FALSE))</f>
        <v>川表翼壁配筋図(3)</v>
      </c>
      <c r="J16" s="43" t="str">
        <f>IF(OR(H16=0,H16=""),"",VLOOKUP(H16,$C$89:$E$230,3,FALSE))</f>
        <v>1:50</v>
      </c>
      <c r="K16" s="45">
        <f>IF(OR(H16=0,H16=""),"",VLOOKUP(H16,$C$89:$F$230,4,FALSE))</f>
        <v>0</v>
      </c>
      <c r="L16" s="23"/>
      <c r="M16" s="17"/>
      <c r="N16" s="17"/>
    </row>
    <row r="17" spans="2:14" ht="15.75" customHeight="1" x14ac:dyDescent="0.15">
      <c r="B17" s="24"/>
      <c r="C17" s="43">
        <f t="shared" si="0"/>
        <v>13</v>
      </c>
      <c r="D17" s="44" t="str">
        <f>IF(OR(C17=0,C17=""),"",VLOOKUP(C17,$C$89:$E$230,2,FALSE))</f>
        <v>プレキャスト函体配置図</v>
      </c>
      <c r="E17" s="43" t="str">
        <f>IF(OR(C17=0,C17=""),"",VLOOKUP(C17,$C$89:$E$230,3,FALSE))</f>
        <v>図示</v>
      </c>
      <c r="F17" s="45">
        <f>IF(OR(C17=0,C17=""),"",VLOOKUP(C17,$C$89:$F$228,4,FALSE))</f>
        <v>0</v>
      </c>
      <c r="G17" s="22"/>
      <c r="H17" s="43">
        <f t="shared" si="1"/>
        <v>46</v>
      </c>
      <c r="I17" s="44" t="str">
        <f>IF(OR(H17=0,H17=""),"",VLOOKUP(H17,$C$89:$E$230,2,FALSE))</f>
        <v>川裏翼壁配筋図(1)</v>
      </c>
      <c r="J17" s="43" t="str">
        <f>IF(OR(H17=0,H17=""),"",VLOOKUP(H17,$C$89:$E$230,3,FALSE))</f>
        <v>1:50</v>
      </c>
      <c r="K17" s="45">
        <f>IF(OR(H17=0,H17=""),"",VLOOKUP(H17,$C$89:$F$230,4,FALSE))</f>
        <v>0</v>
      </c>
      <c r="L17" s="23"/>
      <c r="M17" s="17"/>
      <c r="N17" s="17"/>
    </row>
    <row r="18" spans="2:14" ht="15.75" customHeight="1" x14ac:dyDescent="0.15">
      <c r="B18" s="24"/>
      <c r="C18" s="43">
        <f t="shared" si="0"/>
        <v>14</v>
      </c>
      <c r="D18" s="44" t="str">
        <f>IF(OR(C18=0,C18=""),"",VLOOKUP(C18,$C$89:$E$230,2,FALSE))</f>
        <v>函体構造図(1)</v>
      </c>
      <c r="E18" s="43" t="str">
        <f>IF(OR(C18=0,C18=""),"",VLOOKUP(C18,$C$89:$E$230,3,FALSE))</f>
        <v>1:30</v>
      </c>
      <c r="F18" s="45">
        <f>IF(OR(C18=0,C18=""),"",VLOOKUP(C18,$C$89:$F$228,4,FALSE))</f>
        <v>0</v>
      </c>
      <c r="G18" s="22"/>
      <c r="H18" s="43">
        <f t="shared" si="1"/>
        <v>47</v>
      </c>
      <c r="I18" s="44" t="str">
        <f>IF(OR(H18=0,H18=""),"",VLOOKUP(H18,$C$89:$E$230,2,FALSE))</f>
        <v>川裏翼壁配筋図(2)</v>
      </c>
      <c r="J18" s="43" t="str">
        <f>IF(OR(H18=0,H18=""),"",VLOOKUP(H18,$C$89:$E$230,3,FALSE))</f>
        <v>1:50</v>
      </c>
      <c r="K18" s="45">
        <f>IF(OR(H18=0,H18=""),"",VLOOKUP(H18,$C$89:$F$230,4,FALSE))</f>
        <v>0</v>
      </c>
      <c r="L18" s="23"/>
      <c r="M18" s="17"/>
      <c r="N18" s="17"/>
    </row>
    <row r="19" spans="2:14" ht="15.75" customHeight="1" x14ac:dyDescent="0.15">
      <c r="B19" s="24"/>
      <c r="C19" s="19">
        <f t="shared" si="0"/>
        <v>15</v>
      </c>
      <c r="D19" s="20" t="str">
        <f>IF(OR(C19=0,C19=""),"",VLOOKUP(C19,$C$89:$E$230,2,FALSE))</f>
        <v>函体構造図(2)</v>
      </c>
      <c r="E19" s="19" t="str">
        <f>IF(OR(C19=0,C19=""),"",VLOOKUP(C19,$C$89:$E$230,3,FALSE))</f>
        <v>1:30</v>
      </c>
      <c r="F19" s="42">
        <f>IF(OR(C19=0,C19=""),"",VLOOKUP(C19,$C$89:$F$228,4,FALSE))</f>
        <v>0</v>
      </c>
      <c r="G19" s="22"/>
      <c r="H19" s="43">
        <f t="shared" si="1"/>
        <v>48</v>
      </c>
      <c r="I19" s="44" t="str">
        <f>IF(OR(H19=0,H19=""),"",VLOOKUP(H19,$C$89:$E$230,2,FALSE))</f>
        <v>川裏翼壁配筋図(3)</v>
      </c>
      <c r="J19" s="43" t="str">
        <f>IF(OR(H19=0,H19=""),"",VLOOKUP(H19,$C$89:$E$230,3,FALSE))</f>
        <v>1:50</v>
      </c>
      <c r="K19" s="45">
        <f>IF(OR(H19=0,H19=""),"",VLOOKUP(H19,$C$89:$F$230,4,FALSE))</f>
        <v>0</v>
      </c>
      <c r="L19" s="23"/>
      <c r="M19" s="17"/>
      <c r="N19" s="17"/>
    </row>
    <row r="20" spans="2:14" ht="15.75" customHeight="1" x14ac:dyDescent="0.15">
      <c r="B20" s="24"/>
      <c r="C20" s="43">
        <f t="shared" si="0"/>
        <v>16</v>
      </c>
      <c r="D20" s="44" t="str">
        <f>IF(OR(C20=0,C20=""),"",VLOOKUP(C20,$C$89:$E$230,2,FALSE))</f>
        <v>函体構造図(3)</v>
      </c>
      <c r="E20" s="43" t="str">
        <f>IF(OR(C20=0,C20=""),"",VLOOKUP(C20,$C$89:$E$230,3,FALSE))</f>
        <v>1:30</v>
      </c>
      <c r="F20" s="45">
        <f>IF(OR(C20=0,C20=""),"",VLOOKUP(C20,$C$89:$F$228,4,FALSE))</f>
        <v>0</v>
      </c>
      <c r="G20" s="25"/>
      <c r="H20" s="43">
        <f t="shared" si="1"/>
        <v>49</v>
      </c>
      <c r="I20" s="44" t="str">
        <f>IF(OR(H20=0,H20=""),"",VLOOKUP(H20,$C$89:$E$230,2,FALSE))</f>
        <v>護岸工構造図(1)</v>
      </c>
      <c r="J20" s="43" t="str">
        <f>IF(OR(H20=0,H20=""),"",VLOOKUP(H20,$C$89:$E$230,3,FALSE))</f>
        <v>1:100</v>
      </c>
      <c r="K20" s="45">
        <f>IF(OR(H20=0,H20=""),"",VLOOKUP(H20,$C$89:$F$230,4,FALSE))</f>
        <v>0</v>
      </c>
      <c r="L20" s="23"/>
      <c r="M20" s="17"/>
      <c r="N20" s="17"/>
    </row>
    <row r="21" spans="2:14" ht="15.75" customHeight="1" x14ac:dyDescent="0.15">
      <c r="B21" s="24"/>
      <c r="C21" s="43">
        <f t="shared" si="0"/>
        <v>17</v>
      </c>
      <c r="D21" s="44" t="str">
        <f>IF(OR(C21=0,C21=""),"",VLOOKUP(C21,$C$89:$E$230,2,FALSE))</f>
        <v>函体構造図(4)</v>
      </c>
      <c r="E21" s="43" t="str">
        <f>IF(OR(C21=0,C21=""),"",VLOOKUP(C21,$C$89:$E$230,3,FALSE))</f>
        <v>1:30</v>
      </c>
      <c r="F21" s="45">
        <f>IF(OR(C21=0,C21=""),"",VLOOKUP(C21,$C$89:$F$228,4,FALSE))</f>
        <v>0</v>
      </c>
      <c r="G21" s="25"/>
      <c r="H21" s="43">
        <f t="shared" si="1"/>
        <v>50</v>
      </c>
      <c r="I21" s="44" t="str">
        <f>IF(OR(H21=0,H21=""),"",VLOOKUP(H21,$C$89:$E$230,2,FALSE))</f>
        <v>護岸工構造図(2)</v>
      </c>
      <c r="J21" s="43" t="str">
        <f>IF(OR(H21=0,H21=""),"",VLOOKUP(H21,$C$89:$E$230,3,FALSE))</f>
        <v>図示</v>
      </c>
      <c r="K21" s="45">
        <f>IF(OR(H21=0,H21=""),"",VLOOKUP(H21,$C$89:$F$230,4,FALSE))</f>
        <v>0</v>
      </c>
      <c r="L21" s="23"/>
      <c r="M21" s="17"/>
      <c r="N21" s="17"/>
    </row>
    <row r="22" spans="2:14" ht="15.75" customHeight="1" x14ac:dyDescent="0.15">
      <c r="B22" s="24"/>
      <c r="C22" s="43">
        <f t="shared" si="0"/>
        <v>18</v>
      </c>
      <c r="D22" s="44" t="str">
        <f>IF(OR(C22=0,C22=""),"",VLOOKUP(C22,$C$89:$E$230,2,FALSE))</f>
        <v>函体構造図(5)</v>
      </c>
      <c r="E22" s="43" t="str">
        <f>IF(OR(C22=0,C22=""),"",VLOOKUP(C22,$C$89:$E$230,3,FALSE))</f>
        <v>1:30</v>
      </c>
      <c r="F22" s="45">
        <f>IF(OR(C22=0,C22=""),"",VLOOKUP(C22,$C$89:$F$228,4,FALSE))</f>
        <v>0</v>
      </c>
      <c r="G22" s="25"/>
      <c r="H22" s="43">
        <f t="shared" si="1"/>
        <v>51</v>
      </c>
      <c r="I22" s="44" t="str">
        <f>IF(OR(H22=0,H22=""),"",VLOOKUP(H22,$C$89:$E$230,2,FALSE))</f>
        <v>階段工構造図(1)</v>
      </c>
      <c r="J22" s="43" t="str">
        <f>IF(OR(H22=0,H22=""),"",VLOOKUP(H22,$C$89:$E$230,3,FALSE))</f>
        <v>図示</v>
      </c>
      <c r="K22" s="45">
        <f>IF(OR(H22=0,H22=""),"",VLOOKUP(H22,$C$89:$F$230,4,FALSE))</f>
        <v>0</v>
      </c>
      <c r="L22" s="23"/>
      <c r="M22" s="17"/>
      <c r="N22" s="17"/>
    </row>
    <row r="23" spans="2:14" ht="15.75" customHeight="1" x14ac:dyDescent="0.15">
      <c r="B23" s="24"/>
      <c r="C23" s="43">
        <f t="shared" si="0"/>
        <v>19</v>
      </c>
      <c r="D23" s="44" t="str">
        <f>IF(OR(C23=0,C23=""),"",VLOOKUP(C23,$C$89:$E$230,2,FALSE))</f>
        <v>接続部FBゴム配置図</v>
      </c>
      <c r="E23" s="43" t="str">
        <f>IF(OR(C23=0,C23=""),"",VLOOKUP(C23,$C$89:$E$230,3,FALSE))</f>
        <v>図示</v>
      </c>
      <c r="F23" s="45">
        <f>IF(OR(C23=0,C23=""),"",VLOOKUP(C23,$C$89:$F$228,4,FALSE))</f>
        <v>0</v>
      </c>
      <c r="G23" s="22"/>
      <c r="H23" s="43">
        <f t="shared" si="1"/>
        <v>52</v>
      </c>
      <c r="I23" s="44" t="str">
        <f>IF(OR(H23=0,H23=""),"",VLOOKUP(H23,$C$89:$E$230,2,FALSE))</f>
        <v>階段工構造図(2)</v>
      </c>
      <c r="J23" s="43" t="str">
        <f>IF(OR(H23=0,H23=""),"",VLOOKUP(H23,$C$89:$E$230,3,FALSE))</f>
        <v>図示</v>
      </c>
      <c r="K23" s="45">
        <f>IF(OR(H23=0,H23=""),"",VLOOKUP(H23,$C$89:$F$230,4,FALSE))</f>
        <v>0</v>
      </c>
      <c r="L23" s="23"/>
      <c r="M23" s="17"/>
      <c r="N23" s="17"/>
    </row>
    <row r="24" spans="2:14" ht="15.75" customHeight="1" x14ac:dyDescent="0.15">
      <c r="B24" s="24"/>
      <c r="C24" s="43">
        <f t="shared" si="0"/>
        <v>20</v>
      </c>
      <c r="D24" s="44" t="str">
        <f>IF(OR(C24=0,C24=""),"",VLOOKUP(C24,$C$89:$E$230,2,FALSE))</f>
        <v>函体標準配筋図</v>
      </c>
      <c r="E24" s="43" t="str">
        <f>IF(OR(C24=0,C24=""),"",VLOOKUP(C24,$C$89:$E$230,3,FALSE))</f>
        <v>図示</v>
      </c>
      <c r="F24" s="45">
        <f>IF(OR(C24=0,C24=""),"",VLOOKUP(C24,$C$89:$F$228,4,FALSE))</f>
        <v>0</v>
      </c>
      <c r="G24" s="22"/>
      <c r="H24" s="43">
        <f t="shared" si="1"/>
        <v>53</v>
      </c>
      <c r="I24" s="44" t="str">
        <f>IF(OR(H24=0,H24=""),"",VLOOKUP(H24,$C$89:$E$230,2,FALSE))</f>
        <v>堤外水路計画一般図</v>
      </c>
      <c r="J24" s="43" t="str">
        <f>IF(OR(H24=0,H24=""),"",VLOOKUP(H24,$C$89:$E$230,3,FALSE))</f>
        <v>1:150</v>
      </c>
      <c r="K24" s="45">
        <f>IF(OR(H24=0,H24=""),"",VLOOKUP(H24,$C$89:$F$230,4,FALSE))</f>
        <v>0</v>
      </c>
      <c r="L24" s="23"/>
      <c r="M24" s="17"/>
      <c r="N24" s="17"/>
    </row>
    <row r="25" spans="2:14" ht="15.75" customHeight="1" x14ac:dyDescent="0.15">
      <c r="B25" s="24"/>
      <c r="C25" s="43">
        <f t="shared" si="0"/>
        <v>21</v>
      </c>
      <c r="D25" s="44" t="str">
        <f>IF(OR(C25=0,C25=""),"",VLOOKUP(C25,$C$89:$E$230,2,FALSE))</f>
        <v>PC鋼材加工図</v>
      </c>
      <c r="E25" s="43" t="str">
        <f>IF(OR(C25=0,C25=""),"",VLOOKUP(C25,$C$89:$E$230,3,FALSE))</f>
        <v>図示</v>
      </c>
      <c r="F25" s="45">
        <f>IF(OR(C25=0,C25=""),"",VLOOKUP(C25,$C$89:$F$228,4,FALSE))</f>
        <v>0</v>
      </c>
      <c r="G25" s="22"/>
      <c r="H25" s="43">
        <f t="shared" si="1"/>
        <v>54</v>
      </c>
      <c r="I25" s="44" t="str">
        <f>IF(OR(H25=0,H25=""),"",VLOOKUP(H25,$C$89:$E$230,2,FALSE))</f>
        <v>堤外水路護岸工詳細図(1)</v>
      </c>
      <c r="J25" s="43" t="str">
        <f>IF(OR(H25=0,H25=""),"",VLOOKUP(H25,$C$89:$E$230,3,FALSE))</f>
        <v>図示</v>
      </c>
      <c r="K25" s="45">
        <f>IF(OR(H25=0,H25=""),"",VLOOKUP(H25,$C$89:$F$230,4,FALSE))</f>
        <v>0</v>
      </c>
      <c r="L25" s="23"/>
      <c r="M25" s="17"/>
      <c r="N25" s="17"/>
    </row>
    <row r="26" spans="2:14" ht="15.75" customHeight="1" x14ac:dyDescent="0.15">
      <c r="B26" s="24"/>
      <c r="C26" s="43">
        <f t="shared" si="0"/>
        <v>22</v>
      </c>
      <c r="D26" s="44" t="str">
        <f>IF(OR(C26=0,C26=""),"",VLOOKUP(C26,$C$89:$E$230,2,FALSE))</f>
        <v>グラウトホール・アンカーボルト用孔配置図</v>
      </c>
      <c r="E26" s="43" t="str">
        <f>IF(OR(C26=0,C26=""),"",VLOOKUP(C26,$C$89:$E$230,3,FALSE))</f>
        <v>図示</v>
      </c>
      <c r="F26" s="45">
        <f>IF(OR(C26=0,C26=""),"",VLOOKUP(C26,$C$89:$F$228,4,FALSE))</f>
        <v>0</v>
      </c>
      <c r="G26" s="22"/>
      <c r="H26" s="43">
        <f t="shared" si="1"/>
        <v>55</v>
      </c>
      <c r="I26" s="44" t="str">
        <f>IF(OR(H26=0,H26=""),"",VLOOKUP(H26,$C$89:$E$230,2,FALSE))</f>
        <v>堤外水路護岸工詳細図(2)</v>
      </c>
      <c r="J26" s="43" t="str">
        <f>IF(OR(H26=0,H26=""),"",VLOOKUP(H26,$C$89:$E$230,3,FALSE))</f>
        <v>図示</v>
      </c>
      <c r="K26" s="45">
        <f>IF(OR(H26=0,H26=""),"",VLOOKUP(H26,$C$89:$F$230,4,FALSE))</f>
        <v>0</v>
      </c>
      <c r="L26" s="23"/>
      <c r="M26" s="17"/>
      <c r="N26" s="17"/>
    </row>
    <row r="27" spans="2:14" ht="15.75" customHeight="1" x14ac:dyDescent="0.15">
      <c r="B27" s="24"/>
      <c r="C27" s="43">
        <f t="shared" si="0"/>
        <v>23</v>
      </c>
      <c r="D27" s="44" t="str">
        <f>IF(OR(C27=0,C27=""),"",VLOOKUP(C27,$C$89:$E$230,2,FALSE))</f>
        <v>遮水壁部接続詳細図</v>
      </c>
      <c r="E27" s="43" t="str">
        <f>IF(OR(C27=0,C27=""),"",VLOOKUP(C27,$C$89:$E$230,3,FALSE))</f>
        <v>図示</v>
      </c>
      <c r="F27" s="45">
        <f>IF(OR(C27=0,C27=""),"",VLOOKUP(C27,$C$89:$F$228,4,FALSE))</f>
        <v>0</v>
      </c>
      <c r="G27" s="22"/>
      <c r="H27" s="43">
        <f t="shared" si="1"/>
        <v>56</v>
      </c>
      <c r="I27" s="44" t="str">
        <f>IF(OR(H27=0,H27=""),"",VLOOKUP(H27,$C$89:$E$230,2,FALSE))</f>
        <v>樋門土工図(1)</v>
      </c>
      <c r="J27" s="43" t="str">
        <f>IF(OR(H27=0,H27=""),"",VLOOKUP(H27,$C$89:$E$230,3,FALSE))</f>
        <v>1:100</v>
      </c>
      <c r="K27" s="45">
        <f>IF(OR(H27=0,H27=""),"",VLOOKUP(H27,$C$89:$F$230,4,FALSE))</f>
        <v>0</v>
      </c>
      <c r="L27" s="23"/>
      <c r="M27" s="17"/>
      <c r="N27" s="17"/>
    </row>
    <row r="28" spans="2:14" ht="15.75" customHeight="1" x14ac:dyDescent="0.15">
      <c r="B28" s="24"/>
      <c r="C28" s="43">
        <f t="shared" si="0"/>
        <v>24</v>
      </c>
      <c r="D28" s="44" t="str">
        <f>IF(OR(C28=0,C28=""),"",VLOOKUP(C28,$C$89:$E$230,2,FALSE))</f>
        <v>川表側現場打接合部詳細図</v>
      </c>
      <c r="E28" s="43" t="str">
        <f>IF(OR(C28=0,C28=""),"",VLOOKUP(C28,$C$89:$E$230,3,FALSE))</f>
        <v>図示</v>
      </c>
      <c r="F28" s="45">
        <f>IF(OR(C28=0,C28=""),"",VLOOKUP(C28,$C$89:$F$228,4,FALSE))</f>
        <v>0</v>
      </c>
      <c r="G28" s="22"/>
      <c r="H28" s="43">
        <f t="shared" si="1"/>
        <v>57</v>
      </c>
      <c r="I28" s="44" t="str">
        <f>IF(OR(H28=0,H28=""),"",VLOOKUP(H28,$C$89:$E$230,2,FALSE))</f>
        <v>樋門土工図(2)</v>
      </c>
      <c r="J28" s="43" t="str">
        <f>IF(OR(H28=0,H28=""),"",VLOOKUP(H28,$C$89:$E$230,3,FALSE))</f>
        <v>1:100</v>
      </c>
      <c r="K28" s="45">
        <f>IF(OR(H28=0,H28=""),"",VLOOKUP(H28,$C$89:$F$230,4,FALSE))</f>
        <v>0</v>
      </c>
      <c r="L28" s="23"/>
      <c r="M28" s="17"/>
      <c r="N28" s="17"/>
    </row>
    <row r="29" spans="2:14" ht="15.75" customHeight="1" x14ac:dyDescent="0.15">
      <c r="B29" s="24"/>
      <c r="C29" s="43">
        <f t="shared" si="0"/>
        <v>25</v>
      </c>
      <c r="D29" s="44" t="str">
        <f>IF(OR(C29=0,C29=""),"",VLOOKUP(C29,$C$89:$E$230,2,FALSE))</f>
        <v>川裏側現場打接合部詳細図</v>
      </c>
      <c r="E29" s="43" t="str">
        <f>IF(OR(C29=0,C29=""),"",VLOOKUP(C29,$C$89:$E$230,3,FALSE))</f>
        <v>図示</v>
      </c>
      <c r="F29" s="45">
        <f>IF(OR(C29=0,C29=""),"",VLOOKUP(C29,$C$89:$F$228,4,FALSE))</f>
        <v>0</v>
      </c>
      <c r="G29" s="22"/>
      <c r="H29" s="43">
        <f t="shared" si="1"/>
        <v>58</v>
      </c>
      <c r="I29" s="44" t="str">
        <f>IF(OR(H29=0,H29=""),"",VLOOKUP(H29,$C$89:$E$230,2,FALSE))</f>
        <v>樋門土工図(3)</v>
      </c>
      <c r="J29" s="43" t="str">
        <f>IF(OR(H29=0,H29=""),"",VLOOKUP(H29,$C$89:$E$230,3,FALSE))</f>
        <v>1:100</v>
      </c>
      <c r="K29" s="45">
        <f>IF(OR(H29=0,H29=""),"",VLOOKUP(H29,$C$89:$F$230,4,FALSE))</f>
        <v>0</v>
      </c>
      <c r="L29" s="23"/>
      <c r="M29" s="17"/>
      <c r="N29" s="17"/>
    </row>
    <row r="30" spans="2:14" ht="15.75" customHeight="1" x14ac:dyDescent="0.15">
      <c r="B30" s="24"/>
      <c r="C30" s="43">
        <f t="shared" si="0"/>
        <v>26</v>
      </c>
      <c r="D30" s="44" t="str">
        <f>IF(OR(C30=0,C30=""),"",VLOOKUP(C30,$C$89:$E$230,2,FALSE))</f>
        <v>遮水矢板・グラウトホール構造図(1)</v>
      </c>
      <c r="E30" s="43" t="str">
        <f>IF(OR(C30=0,C30=""),"",VLOOKUP(C30,$C$89:$E$230,3,FALSE))</f>
        <v>1:100</v>
      </c>
      <c r="F30" s="45">
        <f>IF(OR(C30=0,C30=""),"",VLOOKUP(C30,$C$89:$F$228,4,FALSE))</f>
        <v>0</v>
      </c>
      <c r="G30" s="22"/>
      <c r="H30" s="43">
        <f t="shared" si="1"/>
        <v>59</v>
      </c>
      <c r="I30" s="44" t="str">
        <f>IF(OR(H30=0,H30=""),"",VLOOKUP(H30,$C$89:$E$230,2,FALSE))</f>
        <v>樋門土工図(4)</v>
      </c>
      <c r="J30" s="43" t="str">
        <f>IF(OR(H30=0,H30=""),"",VLOOKUP(H30,$C$89:$E$230,3,FALSE))</f>
        <v>1:100</v>
      </c>
      <c r="K30" s="45">
        <f>IF(OR(H30=0,H30=""),"",VLOOKUP(H30,$C$89:$F$230,4,FALSE))</f>
        <v>0</v>
      </c>
      <c r="L30" s="23"/>
      <c r="M30" s="17"/>
      <c r="N30" s="17"/>
    </row>
    <row r="31" spans="2:14" ht="15.75" customHeight="1" x14ac:dyDescent="0.15">
      <c r="B31" s="24"/>
      <c r="C31" s="43">
        <f t="shared" si="0"/>
        <v>27</v>
      </c>
      <c r="D31" s="44" t="str">
        <f>IF(OR(C31=0,C31=""),"",VLOOKUP(C31,$C$89:$E$230,2,FALSE))</f>
        <v>遮水矢板・グラウトホール構造図(2)</v>
      </c>
      <c r="E31" s="43" t="str">
        <f>IF(OR(C31=0,C31=""),"",VLOOKUP(C31,$C$89:$E$230,3,FALSE))</f>
        <v>図示</v>
      </c>
      <c r="F31" s="45">
        <f>IF(OR(C31=0,C31=""),"",VLOOKUP(C31,$C$89:$F$228,4,FALSE))</f>
        <v>0</v>
      </c>
      <c r="G31" s="22"/>
      <c r="H31" s="43">
        <f t="shared" si="1"/>
        <v>60</v>
      </c>
      <c r="I31" s="44" t="str">
        <f>IF(OR(H31=0,H31=""),"",VLOOKUP(H31,$C$89:$E$230,2,FALSE))</f>
        <v>囲繞堤土工平面図</v>
      </c>
      <c r="J31" s="43" t="str">
        <f>IF(OR(H31=0,H31=""),"",VLOOKUP(H31,$C$89:$E$230,3,FALSE))</f>
        <v>1:100</v>
      </c>
      <c r="K31" s="45">
        <f>IF(OR(H31=0,H31=""),"",VLOOKUP(H31,$C$89:$F$230,4,FALSE))</f>
        <v>0</v>
      </c>
      <c r="L31" s="23"/>
      <c r="M31" s="17"/>
      <c r="N31" s="17"/>
    </row>
    <row r="32" spans="2:14" ht="15.75" customHeight="1" x14ac:dyDescent="0.15">
      <c r="B32" s="24"/>
      <c r="C32" s="43">
        <f t="shared" si="0"/>
        <v>28</v>
      </c>
      <c r="D32" s="44" t="str">
        <f>IF(OR(C32=0,C32=""),"",VLOOKUP(C32,$C$89:$E$230,2,FALSE))</f>
        <v>管理橋受台構造図</v>
      </c>
      <c r="E32" s="43" t="str">
        <f>IF(OR(C32=0,C32=""),"",VLOOKUP(C32,$C$89:$E$230,3,FALSE))</f>
        <v>1:20</v>
      </c>
      <c r="F32" s="45">
        <f>IF(OR(C32=0,C32=""),"",VLOOKUP(C32,$C$89:$F$228,4,FALSE))</f>
        <v>0</v>
      </c>
      <c r="G32" s="22"/>
      <c r="H32" s="43">
        <f t="shared" si="1"/>
        <v>61</v>
      </c>
      <c r="I32" s="44" t="str">
        <f>IF(OR(H32=0,H32=""),"",VLOOKUP(H32,$C$89:$E$230,2,FALSE))</f>
        <v>囲繞堤土工横断図(1)</v>
      </c>
      <c r="J32" s="43" t="str">
        <f>IF(OR(H32=0,H32=""),"",VLOOKUP(H32,$C$89:$E$230,3,FALSE))</f>
        <v>1:100</v>
      </c>
      <c r="K32" s="45">
        <f>IF(OR(H32=0,H32=""),"",VLOOKUP(H32,$C$89:$F$230,4,FALSE))</f>
        <v>0</v>
      </c>
      <c r="L32" s="23"/>
      <c r="M32" s="17"/>
      <c r="N32" s="17"/>
    </row>
    <row r="33" spans="2:14" ht="15.75" customHeight="1" x14ac:dyDescent="0.15">
      <c r="B33" s="24"/>
      <c r="C33" s="43">
        <f t="shared" si="0"/>
        <v>29</v>
      </c>
      <c r="D33" s="44" t="str">
        <f>IF(OR(C33=0,C33=""),"",VLOOKUP(C33,$C$89:$E$230,2,FALSE))</f>
        <v>樋門本体工配筋図(1)</v>
      </c>
      <c r="E33" s="43" t="str">
        <f>IF(OR(C33=0,C33=""),"",VLOOKUP(C33,$C$89:$E$230,3,FALSE))</f>
        <v>1:50</v>
      </c>
      <c r="F33" s="45">
        <f>IF(OR(C33=0,C33=""),"",VLOOKUP(C33,$C$89:$F$228,4,FALSE))</f>
        <v>0</v>
      </c>
      <c r="G33" s="22"/>
      <c r="H33" s="19">
        <f t="shared" si="1"/>
        <v>62</v>
      </c>
      <c r="I33" s="20" t="str">
        <f>IF(OR(H33=0,H33=""),"",VLOOKUP(H33,$C$89:$E$230,2,FALSE))</f>
        <v>囲繞堤土工横断図(2)</v>
      </c>
      <c r="J33" s="19" t="str">
        <f>IF(OR(H33=0,H33=""),"",VLOOKUP(H33,$C$89:$E$230,3,FALSE))</f>
        <v>1:100</v>
      </c>
      <c r="K33" s="42">
        <f>IF(OR(H33=0,H33=""),"",VLOOKUP(H33,$C$89:$F$230,4,FALSE))</f>
        <v>0</v>
      </c>
      <c r="L33" s="23"/>
      <c r="M33" s="17"/>
      <c r="N33" s="17"/>
    </row>
    <row r="34" spans="2:14" ht="15.75" customHeight="1" x14ac:dyDescent="0.15">
      <c r="B34" s="24"/>
      <c r="C34" s="43">
        <f t="shared" si="0"/>
        <v>30</v>
      </c>
      <c r="D34" s="44" t="str">
        <f>IF(OR(C34=0,C34=""),"",VLOOKUP(C34,$C$89:$E$230,2,FALSE))</f>
        <v>樋門本体工配筋図(2)</v>
      </c>
      <c r="E34" s="43" t="str">
        <f>IF(OR(C34=0,C34=""),"",VLOOKUP(C34,$C$89:$E$230,3,FALSE))</f>
        <v>1:50</v>
      </c>
      <c r="F34" s="45">
        <f>IF(OR(C34=0,C34=""),"",VLOOKUP(C34,$C$89:$F$228,4,FALSE))</f>
        <v>0</v>
      </c>
      <c r="G34" s="22"/>
      <c r="H34" s="19">
        <f t="shared" si="1"/>
        <v>63</v>
      </c>
      <c r="I34" s="20" t="str">
        <f>IF(OR(H34=0,H34=""),"",VLOOKUP(H34,$C$89:$E$230,2,FALSE))</f>
        <v>囲繞堤土工横断図(3)</v>
      </c>
      <c r="J34" s="19" t="str">
        <f>IF(OR(H34=0,H34=""),"",VLOOKUP(H34,$C$89:$E$230,3,FALSE))</f>
        <v>1:100</v>
      </c>
      <c r="K34" s="42">
        <f>IF(OR(H34=0,H34=""),"",VLOOKUP(H34,$C$89:$F$230,4,FALSE))</f>
        <v>0</v>
      </c>
      <c r="L34" s="23"/>
      <c r="M34" s="17"/>
      <c r="N34" s="17"/>
    </row>
    <row r="35" spans="2:14" ht="15.75" customHeight="1" x14ac:dyDescent="0.15">
      <c r="B35" s="24"/>
      <c r="C35" s="43">
        <f t="shared" si="0"/>
        <v>31</v>
      </c>
      <c r="D35" s="44" t="str">
        <f>IF(OR(C35=0,C35=""),"",VLOOKUP(C35,$C$89:$E$230,2,FALSE))</f>
        <v>樋門本体工配筋図(3)</v>
      </c>
      <c r="E35" s="43" t="str">
        <f>IF(OR(C35=0,C35=""),"",VLOOKUP(C35,$C$89:$E$230,3,FALSE))</f>
        <v>1:50</v>
      </c>
      <c r="F35" s="45">
        <f>IF(OR(C35=0,C35=""),"",VLOOKUP(C35,$C$89:$F$228,4,FALSE))</f>
        <v>0</v>
      </c>
      <c r="G35" s="22"/>
      <c r="H35" s="19">
        <f t="shared" si="1"/>
        <v>64</v>
      </c>
      <c r="I35" s="20" t="str">
        <f>IF(OR(H35=0,H35=""),"",VLOOKUP(H35,$C$89:$E$230,2,FALSE))</f>
        <v>囲繞堤土工横断図(4)</v>
      </c>
      <c r="J35" s="19" t="str">
        <f>IF(OR(H35=0,H35=""),"",VLOOKUP(H35,$C$89:$E$230,3,FALSE))</f>
        <v>1:100</v>
      </c>
      <c r="K35" s="42">
        <f>IF(OR(H35=0,H35=""),"",VLOOKUP(H35,$C$89:$F$230,4,FALSE))</f>
        <v>0</v>
      </c>
      <c r="L35" s="23"/>
      <c r="M35" s="17"/>
      <c r="N35" s="17"/>
    </row>
    <row r="36" spans="2:14" ht="15.75" customHeight="1" x14ac:dyDescent="0.15">
      <c r="B36" s="24"/>
      <c r="C36" s="43">
        <f t="shared" si="0"/>
        <v>32</v>
      </c>
      <c r="D36" s="44" t="str">
        <f>IF(OR(C36=0,C36=""),"",VLOOKUP(C36,$C$89:$E$230,2,FALSE))</f>
        <v>樋門本体工配筋図(4)</v>
      </c>
      <c r="E36" s="43" t="str">
        <f>IF(OR(C36=0,C36=""),"",VLOOKUP(C36,$C$89:$E$230,3,FALSE))</f>
        <v>1:50</v>
      </c>
      <c r="F36" s="45">
        <f>IF(OR(C36=0,C36=""),"",VLOOKUP(C36,$C$89:$F$228,4,FALSE))</f>
        <v>0</v>
      </c>
      <c r="G36" s="22"/>
      <c r="H36" s="19">
        <f t="shared" si="1"/>
        <v>65</v>
      </c>
      <c r="I36" s="20" t="str">
        <f>IF(OR(H36=0,H36=""),"",VLOOKUP(H36,$C$89:$E$230,2,FALSE))</f>
        <v>天端舗装工詳細図</v>
      </c>
      <c r="J36" s="19" t="str">
        <f>IF(OR(H36=0,H36=""),"",VLOOKUP(H36,$C$89:$E$230,3,FALSE))</f>
        <v>1:100</v>
      </c>
      <c r="K36" s="42">
        <f>IF(OR(H36=0,H36=""),"",VLOOKUP(H36,$C$89:$F$230,4,FALSE))</f>
        <v>0</v>
      </c>
      <c r="L36" s="23"/>
      <c r="M36" s="17"/>
      <c r="N36" s="17"/>
    </row>
    <row r="37" spans="2:14" ht="15.75" customHeight="1" x14ac:dyDescent="0.15">
      <c r="B37" s="24"/>
      <c r="C37" s="43">
        <f t="shared" si="0"/>
        <v>33</v>
      </c>
      <c r="D37" s="44" t="str">
        <f>IF(OR(C37=0,C37=""),"",VLOOKUP(C37,$C$89:$E$230,2,FALSE))</f>
        <v>樋門本体工配筋図(5)</v>
      </c>
      <c r="E37" s="43" t="str">
        <f>IF(OR(C37=0,C37=""),"",VLOOKUP(C37,$C$89:$E$230,3,FALSE))</f>
        <v>1:50</v>
      </c>
      <c r="F37" s="45">
        <f>IF(OR(C37=0,C37=""),"",VLOOKUP(C37,$C$89:$F$228,4,FALSE))</f>
        <v>0</v>
      </c>
      <c r="G37" s="22"/>
      <c r="H37" s="19">
        <f t="shared" si="1"/>
        <v>66</v>
      </c>
      <c r="I37" s="20" t="str">
        <f>IF(OR(H37=0,H37=""),"",VLOOKUP(H37,$C$89:$E$230,2,FALSE))</f>
        <v>堤外水路土工図(1)</v>
      </c>
      <c r="J37" s="19" t="str">
        <f>IF(OR(H37=0,H37=""),"",VLOOKUP(H37,$C$89:$E$230,3,FALSE))</f>
        <v>1:100</v>
      </c>
      <c r="K37" s="42">
        <f>IF(OR(H37=0,H37=""),"",VLOOKUP(H37,$C$89:$F$230,4,FALSE))</f>
        <v>0</v>
      </c>
      <c r="L37" s="23"/>
      <c r="M37" s="17"/>
      <c r="N37" s="17"/>
    </row>
    <row r="38" spans="2:14" ht="18" customHeight="1" x14ac:dyDescent="0.15">
      <c r="B38" s="26"/>
      <c r="C38" s="27"/>
      <c r="D38" s="28"/>
      <c r="E38" s="27"/>
      <c r="F38" s="27"/>
      <c r="G38" s="29"/>
      <c r="H38" s="27"/>
      <c r="I38" s="28"/>
      <c r="J38" s="27"/>
      <c r="K38" s="27"/>
      <c r="L38" s="30"/>
      <c r="M38" s="17"/>
      <c r="N38" s="17"/>
    </row>
    <row r="39" spans="2:14" ht="18" customHeight="1" x14ac:dyDescent="0.15">
      <c r="B39" s="15"/>
      <c r="C39" s="31"/>
      <c r="D39" s="32"/>
      <c r="E39" s="31"/>
      <c r="F39" s="31"/>
      <c r="G39" s="15"/>
      <c r="H39" s="31"/>
      <c r="I39" s="32"/>
      <c r="J39" s="31"/>
      <c r="K39" s="31"/>
      <c r="L39" s="17"/>
      <c r="M39" s="17"/>
      <c r="N39" s="17"/>
    </row>
    <row r="40" spans="2:14" ht="14.25" thickBot="1" x14ac:dyDescent="0.2">
      <c r="B40" s="3"/>
      <c r="C40" s="4"/>
      <c r="D40" s="4"/>
      <c r="E40" s="4"/>
      <c r="F40" s="4"/>
      <c r="G40" s="4"/>
      <c r="H40" s="4"/>
      <c r="I40" s="4"/>
      <c r="J40" s="5"/>
      <c r="K40" s="5"/>
      <c r="L40" s="6"/>
    </row>
    <row r="41" spans="2:14" ht="30" customHeight="1" thickBot="1" x14ac:dyDescent="0.2">
      <c r="B41" s="8"/>
      <c r="C41" s="58" t="s">
        <v>95</v>
      </c>
      <c r="D41" s="59"/>
      <c r="E41" s="59"/>
      <c r="F41" s="59"/>
      <c r="G41" s="59"/>
      <c r="H41" s="59"/>
      <c r="I41" s="59"/>
      <c r="J41" s="59"/>
      <c r="K41" s="60"/>
      <c r="L41" s="9"/>
    </row>
    <row r="42" spans="2:14" ht="11.25" customHeight="1" x14ac:dyDescent="0.15">
      <c r="B42" s="8"/>
      <c r="C42" s="10"/>
      <c r="D42" s="10"/>
      <c r="E42" s="10"/>
      <c r="F42" s="10"/>
      <c r="G42" s="10"/>
      <c r="H42" s="10"/>
      <c r="I42" s="10"/>
      <c r="J42" s="11"/>
      <c r="K42" s="11"/>
      <c r="L42" s="12"/>
      <c r="M42" s="11"/>
      <c r="N42" s="11"/>
    </row>
    <row r="43" spans="2:14" ht="22.5" customHeight="1" x14ac:dyDescent="0.15">
      <c r="B43" s="13"/>
      <c r="C43" s="14" t="s">
        <v>0</v>
      </c>
      <c r="D43" s="14" t="s">
        <v>1</v>
      </c>
      <c r="E43" s="14" t="s">
        <v>2</v>
      </c>
      <c r="F43" s="14" t="s">
        <v>3</v>
      </c>
      <c r="G43" s="15"/>
      <c r="H43" s="14" t="s">
        <v>0</v>
      </c>
      <c r="I43" s="14" t="s">
        <v>1</v>
      </c>
      <c r="J43" s="14" t="s">
        <v>2</v>
      </c>
      <c r="K43" s="14" t="s">
        <v>3</v>
      </c>
      <c r="L43" s="16"/>
      <c r="M43" s="17"/>
      <c r="N43" s="17"/>
    </row>
    <row r="44" spans="2:14" ht="15.75" customHeight="1" x14ac:dyDescent="0.15">
      <c r="B44" s="18"/>
      <c r="C44" s="19">
        <f>H37+1</f>
        <v>67</v>
      </c>
      <c r="D44" s="20" t="str">
        <f>IF(OR(C44=0,C44=""),"",VLOOKUP(C44,$C$89:$E$230,2,FALSE))</f>
        <v>堤外水路土工図(2)</v>
      </c>
      <c r="E44" s="19" t="str">
        <f>IF(OR(C44=0,C44=""),"",VLOOKUP(C44,$C$89:$E$230,3,FALSE))</f>
        <v>1:100</v>
      </c>
      <c r="F44" s="42">
        <f>IF(OR(C44=0,C44=""),"",VLOOKUP(C44,$C$89:$F$228,4,FALSE))</f>
        <v>0</v>
      </c>
      <c r="G44" s="22"/>
      <c r="H44" s="19"/>
      <c r="I44" s="20" t="str">
        <f>IF(OR(H44=0,H44=""),"",VLOOKUP(H44,$C$89:$E$230,2,FALSE))</f>
        <v/>
      </c>
      <c r="J44" s="19" t="str">
        <f>IF(OR(H44=0,H44=""),"",VLOOKUP(H44,$C$89:$E$230,3,FALSE))</f>
        <v/>
      </c>
      <c r="K44" s="42" t="str">
        <f>IF(OR(H44=0,H44=""),"",VLOOKUP(H44,$C$89:$F$230,4,FALSE))</f>
        <v/>
      </c>
      <c r="L44" s="23"/>
      <c r="M44" s="17"/>
      <c r="N44" s="17"/>
    </row>
    <row r="45" spans="2:14" ht="15.75" customHeight="1" x14ac:dyDescent="0.15">
      <c r="B45" s="18"/>
      <c r="C45" s="19">
        <f t="shared" ref="C45:C70" si="2">C44+1</f>
        <v>68</v>
      </c>
      <c r="D45" s="20" t="str">
        <f>IF(OR(C45=0,C45=""),"",VLOOKUP(C45,$C$89:$E$230,2,FALSE))</f>
        <v>仮設工全体平面図</v>
      </c>
      <c r="E45" s="19" t="str">
        <f>IF(OR(C45=0,C45=""),"",VLOOKUP(C45,$C$89:$E$230,3,FALSE))</f>
        <v>1:500</v>
      </c>
      <c r="F45" s="42">
        <f>IF(OR(C45=0,C45=""),"",VLOOKUP(C45,$C$89:$F$228,4,FALSE))</f>
        <v>0</v>
      </c>
      <c r="G45" s="22"/>
      <c r="H45" s="19"/>
      <c r="I45" s="20" t="str">
        <f>IF(OR(H45=0,H45=""),"",VLOOKUP(H45,$C$89:$E$230,2,FALSE))</f>
        <v/>
      </c>
      <c r="J45" s="19" t="str">
        <f>IF(OR(H45=0,H45=""),"",VLOOKUP(H45,$C$89:$E$230,3,FALSE))</f>
        <v/>
      </c>
      <c r="K45" s="42" t="str">
        <f>IF(OR(H45=0,H45=""),"",VLOOKUP(H45,$C$89:$F$230,4,FALSE))</f>
        <v/>
      </c>
      <c r="L45" s="23"/>
      <c r="M45" s="17"/>
      <c r="N45" s="17"/>
    </row>
    <row r="46" spans="2:14" ht="15.75" customHeight="1" x14ac:dyDescent="0.15">
      <c r="B46" s="24"/>
      <c r="C46" s="19">
        <f t="shared" si="2"/>
        <v>69</v>
      </c>
      <c r="D46" s="20" t="str">
        <f>IF(OR(C46=0,C46=""),"",VLOOKUP(C46,$C$89:$E$230,2,FALSE))</f>
        <v>仮設工図(1)</v>
      </c>
      <c r="E46" s="19" t="str">
        <f>IF(OR(C46=0,C46=""),"",VLOOKUP(C46,$C$89:$E$230,3,FALSE))</f>
        <v>図示</v>
      </c>
      <c r="F46" s="42">
        <f>IF(OR(C46=0,C46=""),"",VLOOKUP(C46,$C$89:$F$228,4,FALSE))</f>
        <v>0</v>
      </c>
      <c r="G46" s="22"/>
      <c r="H46" s="19"/>
      <c r="I46" s="20" t="str">
        <f>IF(OR(H46=0,H46=""),"",VLOOKUP(H46,$C$89:$E$230,2,FALSE))</f>
        <v/>
      </c>
      <c r="J46" s="19" t="str">
        <f>IF(OR(H46=0,H46=""),"",VLOOKUP(H46,$C$89:$E$230,3,FALSE))</f>
        <v/>
      </c>
      <c r="K46" s="42" t="str">
        <f>IF(OR(H46=0,H46=""),"",VLOOKUP(H46,$C$89:$F$230,4,FALSE))</f>
        <v/>
      </c>
      <c r="L46" s="23"/>
      <c r="M46" s="17"/>
      <c r="N46" s="17"/>
    </row>
    <row r="47" spans="2:14" ht="15.75" customHeight="1" x14ac:dyDescent="0.15">
      <c r="B47" s="24"/>
      <c r="C47" s="19">
        <f t="shared" si="2"/>
        <v>70</v>
      </c>
      <c r="D47" s="20" t="str">
        <f>IF(OR(C47=0,C47=""),"",VLOOKUP(C47,$C$89:$E$230,2,FALSE))</f>
        <v>仮設工図(2)</v>
      </c>
      <c r="E47" s="19" t="str">
        <f>IF(OR(C47=0,C47=""),"",VLOOKUP(C47,$C$89:$E$230,3,FALSE))</f>
        <v>図示</v>
      </c>
      <c r="F47" s="42">
        <f>IF(OR(C47=0,C47=""),"",VLOOKUP(C47,$C$89:$F$228,4,FALSE))</f>
        <v>0</v>
      </c>
      <c r="G47" s="22"/>
      <c r="H47" s="19"/>
      <c r="I47" s="20" t="str">
        <f>IF(OR(H47=0,H47=""),"",VLOOKUP(H47,$C$89:$E$230,2,FALSE))</f>
        <v/>
      </c>
      <c r="J47" s="19" t="str">
        <f>IF(OR(H47=0,H47=""),"",VLOOKUP(H47,$C$89:$E$230,3,FALSE))</f>
        <v/>
      </c>
      <c r="K47" s="42" t="str">
        <f>IF(OR(H47=0,H47=""),"",VLOOKUP(H47,$C$89:$F$230,4,FALSE))</f>
        <v/>
      </c>
      <c r="L47" s="23"/>
      <c r="M47" s="17"/>
      <c r="N47" s="17"/>
    </row>
    <row r="48" spans="2:14" ht="15.75" customHeight="1" x14ac:dyDescent="0.15">
      <c r="B48" s="24"/>
      <c r="C48" s="19">
        <f t="shared" si="2"/>
        <v>71</v>
      </c>
      <c r="D48" s="20" t="str">
        <f>IF(OR(C48=0,C48=""),"",VLOOKUP(C48,$C$89:$E$230,2,FALSE))</f>
        <v>施工段階図(1)</v>
      </c>
      <c r="E48" s="19" t="str">
        <f>IF(OR(C48=0,C48=""),"",VLOOKUP(C48,$C$89:$E$230,3,FALSE))</f>
        <v>1:300</v>
      </c>
      <c r="F48" s="42">
        <f>IF(OR(C48=0,C48=""),"",VLOOKUP(C48,$C$89:$F$228,4,FALSE))</f>
        <v>0</v>
      </c>
      <c r="G48" s="22"/>
      <c r="H48" s="19"/>
      <c r="I48" s="20" t="str">
        <f>IF(OR(H48=0,H48=""),"",VLOOKUP(H48,$C$89:$E$230,2,FALSE))</f>
        <v/>
      </c>
      <c r="J48" s="19" t="str">
        <f>IF(OR(H48=0,H48=""),"",VLOOKUP(H48,$C$89:$E$230,3,FALSE))</f>
        <v/>
      </c>
      <c r="K48" s="42" t="str">
        <f>IF(OR(H48=0,H48=""),"",VLOOKUP(H48,$C$89:$F$230,4,FALSE))</f>
        <v/>
      </c>
      <c r="L48" s="23"/>
      <c r="M48" s="17"/>
      <c r="N48" s="17"/>
    </row>
    <row r="49" spans="2:14" ht="15.75" customHeight="1" x14ac:dyDescent="0.15">
      <c r="B49" s="24"/>
      <c r="C49" s="19">
        <f t="shared" si="2"/>
        <v>72</v>
      </c>
      <c r="D49" s="20" t="str">
        <f>IF(OR(C49=0,C49=""),"",VLOOKUP(C49,$C$89:$E$230,2,FALSE))</f>
        <v>施工段階図(2)</v>
      </c>
      <c r="E49" s="19" t="str">
        <f>IF(OR(C49=0,C49=""),"",VLOOKUP(C49,$C$89:$E$230,3,FALSE))</f>
        <v>1:300</v>
      </c>
      <c r="F49" s="42">
        <f>IF(OR(C49=0,C49=""),"",VLOOKUP(C49,$C$89:$F$228,4,FALSE))</f>
        <v>0</v>
      </c>
      <c r="G49" s="22"/>
      <c r="H49" s="19"/>
      <c r="I49" s="20" t="str">
        <f>IF(OR(H49=0,H49=""),"",VLOOKUP(H49,$C$89:$E$230,2,FALSE))</f>
        <v/>
      </c>
      <c r="J49" s="19" t="str">
        <f>IF(OR(H49=0,H49=""),"",VLOOKUP(H49,$C$89:$E$230,3,FALSE))</f>
        <v/>
      </c>
      <c r="K49" s="42" t="str">
        <f>IF(OR(H49=0,H49=""),"",VLOOKUP(H49,$C$89:$F$230,4,FALSE))</f>
        <v/>
      </c>
      <c r="L49" s="23"/>
      <c r="M49" s="17"/>
      <c r="N49" s="17"/>
    </row>
    <row r="50" spans="2:14" ht="15.75" customHeight="1" x14ac:dyDescent="0.15">
      <c r="B50" s="24"/>
      <c r="C50" s="43">
        <f t="shared" si="2"/>
        <v>73</v>
      </c>
      <c r="D50" s="44" t="str">
        <f>IF(OR(C50=0,C50=""),"",VLOOKUP(C50,$C$89:$E$230,2,FALSE))</f>
        <v>施工段階図(3)</v>
      </c>
      <c r="E50" s="43" t="str">
        <f>IF(OR(C50=0,C50=""),"",VLOOKUP(C50,$C$89:$E$230,3,FALSE))</f>
        <v>1:300</v>
      </c>
      <c r="F50" s="45">
        <f>IF(OR(C50=0,C50=""),"",VLOOKUP(C50,$C$89:$F$228,4,FALSE))</f>
        <v>0</v>
      </c>
      <c r="G50" s="22"/>
      <c r="H50" s="19"/>
      <c r="I50" s="20" t="str">
        <f>IF(OR(H50=0,H50=""),"",VLOOKUP(H50,$C$89:$E$230,2,FALSE))</f>
        <v/>
      </c>
      <c r="J50" s="19" t="str">
        <f>IF(OR(H50=0,H50=""),"",VLOOKUP(H50,$C$89:$E$230,3,FALSE))</f>
        <v/>
      </c>
      <c r="K50" s="42" t="str">
        <f>IF(OR(H50=0,H50=""),"",VLOOKUP(H50,$C$89:$F$230,4,FALSE))</f>
        <v/>
      </c>
      <c r="L50" s="23"/>
      <c r="M50" s="17"/>
      <c r="N50" s="17"/>
    </row>
    <row r="51" spans="2:14" ht="15.75" customHeight="1" x14ac:dyDescent="0.15">
      <c r="B51" s="24"/>
      <c r="C51" s="43">
        <f t="shared" si="2"/>
        <v>74</v>
      </c>
      <c r="D51" s="44" t="str">
        <f>IF(OR(C51=0,C51=""),"",VLOOKUP(C51,$C$89:$E$230,2,FALSE))</f>
        <v>施工段階図(4)</v>
      </c>
      <c r="E51" s="43" t="str">
        <f>IF(OR(C51=0,C51=""),"",VLOOKUP(C51,$C$89:$E$230,3,FALSE))</f>
        <v>1:300</v>
      </c>
      <c r="F51" s="45">
        <f>IF(OR(C51=0,C51=""),"",VLOOKUP(C51,$C$89:$F$228,4,FALSE))</f>
        <v>0</v>
      </c>
      <c r="G51" s="22"/>
      <c r="H51" s="19"/>
      <c r="I51" s="20" t="str">
        <f>IF(OR(H51=0,H51=""),"",VLOOKUP(H51,$C$89:$E$230,2,FALSE))</f>
        <v/>
      </c>
      <c r="J51" s="19" t="str">
        <f>IF(OR(H51=0,H51=""),"",VLOOKUP(H51,$C$89:$E$230,3,FALSE))</f>
        <v/>
      </c>
      <c r="K51" s="42" t="str">
        <f>IF(OR(H51=0,H51=""),"",VLOOKUP(H51,$C$89:$F$230,4,FALSE))</f>
        <v/>
      </c>
      <c r="L51" s="23"/>
      <c r="M51" s="17"/>
      <c r="N51" s="17"/>
    </row>
    <row r="52" spans="2:14" ht="15.75" customHeight="1" x14ac:dyDescent="0.15">
      <c r="B52" s="24"/>
      <c r="C52" s="43">
        <f t="shared" si="2"/>
        <v>75</v>
      </c>
      <c r="D52" s="44" t="str">
        <f>IF(OR(C52=0,C52=""),"",VLOOKUP(C52,$C$89:$E$230,2,FALSE))</f>
        <v>施工段階図(5)</v>
      </c>
      <c r="E52" s="43" t="str">
        <f>IF(OR(C52=0,C52=""),"",VLOOKUP(C52,$C$89:$E$230,3,FALSE))</f>
        <v>1:300</v>
      </c>
      <c r="F52" s="45">
        <f>IF(OR(C52=0,C52=""),"",VLOOKUP(C52,$C$89:$F$228,4,FALSE))</f>
        <v>0</v>
      </c>
      <c r="G52" s="22"/>
      <c r="H52" s="19"/>
      <c r="I52" s="20" t="str">
        <f>IF(OR(H52=0,H52=""),"",VLOOKUP(H52,$C$89:$E$230,2,FALSE))</f>
        <v/>
      </c>
      <c r="J52" s="19" t="str">
        <f>IF(OR(H52=0,H52=""),"",VLOOKUP(H52,$C$89:$E$230,3,FALSE))</f>
        <v/>
      </c>
      <c r="K52" s="42" t="str">
        <f>IF(OR(H52=0,H52=""),"",VLOOKUP(H52,$C$89:$F$230,4,FALSE))</f>
        <v/>
      </c>
      <c r="L52" s="23"/>
      <c r="M52" s="17"/>
      <c r="N52" s="17"/>
    </row>
    <row r="53" spans="2:14" ht="15.75" customHeight="1" x14ac:dyDescent="0.15">
      <c r="B53" s="24"/>
      <c r="C53" s="43">
        <f t="shared" si="2"/>
        <v>76</v>
      </c>
      <c r="D53" s="44" t="str">
        <f>IF(OR(C53=0,C53=""),"",VLOOKUP(C53,$C$89:$E$230,2,FALSE))</f>
        <v>施工段階図(6)</v>
      </c>
      <c r="E53" s="43" t="str">
        <f>IF(OR(C53=0,C53=""),"",VLOOKUP(C53,$C$89:$E$230,3,FALSE))</f>
        <v>1:300</v>
      </c>
      <c r="F53" s="45">
        <f>IF(OR(C53=0,C53=""),"",VLOOKUP(C53,$C$89:$F$228,4,FALSE))</f>
        <v>0</v>
      </c>
      <c r="G53" s="25"/>
      <c r="H53" s="19"/>
      <c r="I53" s="20" t="str">
        <f>IF(OR(H53=0,H53=""),"",VLOOKUP(H53,$C$89:$E$230,2,FALSE))</f>
        <v/>
      </c>
      <c r="J53" s="19" t="str">
        <f>IF(OR(H53=0,H53=""),"",VLOOKUP(H53,$C$89:$E$230,3,FALSE))</f>
        <v/>
      </c>
      <c r="K53" s="42" t="str">
        <f>IF(OR(H53=0,H53=""),"",VLOOKUP(H53,$C$89:$F$230,4,FALSE))</f>
        <v/>
      </c>
      <c r="L53" s="23"/>
      <c r="M53" s="17"/>
      <c r="N53" s="17"/>
    </row>
    <row r="54" spans="2:14" ht="15.75" customHeight="1" x14ac:dyDescent="0.15">
      <c r="B54" s="24"/>
      <c r="C54" s="43">
        <f t="shared" si="2"/>
        <v>77</v>
      </c>
      <c r="D54" s="44" t="str">
        <f>IF(OR(C54=0,C54=""),"",VLOOKUP(C54,$C$89:$E$230,2,FALSE))</f>
        <v>施工段階図(7)</v>
      </c>
      <c r="E54" s="43" t="str">
        <f>IF(OR(C54=0,C54=""),"",VLOOKUP(C54,$C$89:$E$230,3,FALSE))</f>
        <v>1:300</v>
      </c>
      <c r="F54" s="45">
        <f>IF(OR(C54=0,C54=""),"",VLOOKUP(C54,$C$89:$F$228,4,FALSE))</f>
        <v>0</v>
      </c>
      <c r="G54" s="25"/>
      <c r="H54" s="19"/>
      <c r="I54" s="20" t="str">
        <f>IF(OR(H54=0,H54=""),"",VLOOKUP(H54,$C$89:$E$230,2,FALSE))</f>
        <v/>
      </c>
      <c r="J54" s="19" t="str">
        <f>IF(OR(H54=0,H54=""),"",VLOOKUP(H54,$C$89:$E$230,3,FALSE))</f>
        <v/>
      </c>
      <c r="K54" s="42" t="str">
        <f>IF(OR(H54=0,H54=""),"",VLOOKUP(H54,$C$89:$F$230,4,FALSE))</f>
        <v/>
      </c>
      <c r="L54" s="23"/>
      <c r="M54" s="17"/>
      <c r="N54" s="17"/>
    </row>
    <row r="55" spans="2:14" ht="15.75" customHeight="1" x14ac:dyDescent="0.15">
      <c r="B55" s="24"/>
      <c r="C55" s="43">
        <f t="shared" si="2"/>
        <v>78</v>
      </c>
      <c r="D55" s="44" t="str">
        <f>IF(OR(C55=0,C55=""),"",VLOOKUP(C55,$C$89:$E$230,2,FALSE))</f>
        <v>施工段階図(8)</v>
      </c>
      <c r="E55" s="43" t="str">
        <f>IF(OR(C55=0,C55=""),"",VLOOKUP(C55,$C$89:$E$230,3,FALSE))</f>
        <v>1:300</v>
      </c>
      <c r="F55" s="45">
        <f>IF(OR(C55=0,C55=""),"",VLOOKUP(C55,$C$89:$F$228,4,FALSE))</f>
        <v>0</v>
      </c>
      <c r="G55" s="25"/>
      <c r="H55" s="19"/>
      <c r="I55" s="20" t="str">
        <f>IF(OR(H55=0,H55=""),"",VLOOKUP(H55,$C$89:$E$230,2,FALSE))</f>
        <v/>
      </c>
      <c r="J55" s="19" t="str">
        <f>IF(OR(H55=0,H55=""),"",VLOOKUP(H55,$C$89:$E$230,3,FALSE))</f>
        <v/>
      </c>
      <c r="K55" s="42" t="str">
        <f>IF(OR(H55=0,H55=""),"",VLOOKUP(H55,$C$89:$F$230,4,FALSE))</f>
        <v/>
      </c>
      <c r="L55" s="23"/>
      <c r="M55" s="17"/>
      <c r="N55" s="17"/>
    </row>
    <row r="56" spans="2:14" ht="15.75" customHeight="1" x14ac:dyDescent="0.15">
      <c r="B56" s="24"/>
      <c r="C56" s="43">
        <f t="shared" si="2"/>
        <v>79</v>
      </c>
      <c r="D56" s="44" t="str">
        <f>IF(OR(C56=0,C56=""),"",VLOOKUP(C56,$C$89:$E$230,2,FALSE))</f>
        <v>施工段階図(9)</v>
      </c>
      <c r="E56" s="43" t="str">
        <f>IF(OR(C56=0,C56=""),"",VLOOKUP(C56,$C$89:$E$230,3,FALSE))</f>
        <v>1:300</v>
      </c>
      <c r="F56" s="45">
        <f>IF(OR(C56=0,C56=""),"",VLOOKUP(C56,$C$89:$F$228,4,FALSE))</f>
        <v>0</v>
      </c>
      <c r="G56" s="22"/>
      <c r="H56" s="19"/>
      <c r="I56" s="20" t="str">
        <f>IF(OR(H56=0,H56=""),"",VLOOKUP(H56,$C$89:$E$230,2,FALSE))</f>
        <v/>
      </c>
      <c r="J56" s="19" t="str">
        <f>IF(OR(H56=0,H56=""),"",VLOOKUP(H56,$C$89:$E$230,3,FALSE))</f>
        <v/>
      </c>
      <c r="K56" s="42" t="str">
        <f>IF(OR(H56=0,H56=""),"",VLOOKUP(H56,$C$89:$F$230,4,FALSE))</f>
        <v/>
      </c>
      <c r="L56" s="23"/>
      <c r="M56" s="17"/>
      <c r="N56" s="17"/>
    </row>
    <row r="57" spans="2:14" ht="15.75" customHeight="1" x14ac:dyDescent="0.15">
      <c r="B57" s="24"/>
      <c r="C57" s="43">
        <f t="shared" si="2"/>
        <v>80</v>
      </c>
      <c r="D57" s="44" t="str">
        <f>IF(OR(C57=0,C57=""),"",VLOOKUP(C57,$C$89:$E$230,2,FALSE))</f>
        <v>施工段階図(10)</v>
      </c>
      <c r="E57" s="43" t="str">
        <f>IF(OR(C57=0,C57=""),"",VLOOKUP(C57,$C$89:$E$230,3,FALSE))</f>
        <v>1:300</v>
      </c>
      <c r="F57" s="45">
        <f>IF(OR(C57=0,C57=""),"",VLOOKUP(C57,$C$89:$F$228,4,FALSE))</f>
        <v>0</v>
      </c>
      <c r="G57" s="22"/>
      <c r="H57" s="19"/>
      <c r="I57" s="20" t="str">
        <f>IF(OR(H57=0,H57=""),"",VLOOKUP(H57,$C$89:$E$230,2,FALSE))</f>
        <v/>
      </c>
      <c r="J57" s="19" t="str">
        <f>IF(OR(H57=0,H57=""),"",VLOOKUP(H57,$C$89:$E$230,3,FALSE))</f>
        <v/>
      </c>
      <c r="K57" s="42" t="str">
        <f>IF(OR(H57=0,H57=""),"",VLOOKUP(H57,$C$89:$F$230,4,FALSE))</f>
        <v/>
      </c>
      <c r="L57" s="23"/>
      <c r="M57" s="17"/>
      <c r="N57" s="17"/>
    </row>
    <row r="58" spans="2:14" ht="15.75" customHeight="1" x14ac:dyDescent="0.15">
      <c r="B58" s="24"/>
      <c r="C58" s="43">
        <f t="shared" si="2"/>
        <v>81</v>
      </c>
      <c r="D58" s="44" t="str">
        <f>IF(OR(C58=0,C58=""),"",VLOOKUP(C58,$C$89:$E$230,2,FALSE))</f>
        <v>施工段階図(11)</v>
      </c>
      <c r="E58" s="43" t="str">
        <f>IF(OR(C58=0,C58=""),"",VLOOKUP(C58,$C$89:$E$230,3,FALSE))</f>
        <v>1:300</v>
      </c>
      <c r="F58" s="45">
        <f>IF(OR(C58=0,C58=""),"",VLOOKUP(C58,$C$89:$F$228,4,FALSE))</f>
        <v>0</v>
      </c>
      <c r="G58" s="22"/>
      <c r="H58" s="19"/>
      <c r="I58" s="20" t="str">
        <f>IF(OR(H58=0,H58=""),"",VLOOKUP(H58,$C$89:$E$230,2,FALSE))</f>
        <v/>
      </c>
      <c r="J58" s="19" t="str">
        <f>IF(OR(H58=0,H58=""),"",VLOOKUP(H58,$C$89:$E$230,3,FALSE))</f>
        <v/>
      </c>
      <c r="K58" s="42" t="str">
        <f>IF(OR(H58=0,H58=""),"",VLOOKUP(H58,$C$89:$F$230,4,FALSE))</f>
        <v/>
      </c>
      <c r="L58" s="23"/>
      <c r="M58" s="17"/>
      <c r="N58" s="17"/>
    </row>
    <row r="59" spans="2:14" ht="15.75" customHeight="1" x14ac:dyDescent="0.15">
      <c r="B59" s="24"/>
      <c r="C59" s="43">
        <f t="shared" si="2"/>
        <v>82</v>
      </c>
      <c r="D59" s="44" t="str">
        <f>IF(OR(C59=0,C59=""),"",VLOOKUP(C59,$C$89:$E$230,2,FALSE))</f>
        <v>施工段階図(12)</v>
      </c>
      <c r="E59" s="43" t="str">
        <f>IF(OR(C59=0,C59=""),"",VLOOKUP(C59,$C$89:$E$230,3,FALSE))</f>
        <v>1:300</v>
      </c>
      <c r="F59" s="45">
        <f>IF(OR(C59=0,C59=""),"",VLOOKUP(C59,$C$89:$F$228,4,FALSE))</f>
        <v>0</v>
      </c>
      <c r="G59" s="25"/>
      <c r="H59" s="19"/>
      <c r="I59" s="20" t="str">
        <f>IF(OR(H59=0,H59=""),"",VLOOKUP(H59,$C$89:$E$230,2,FALSE))</f>
        <v/>
      </c>
      <c r="J59" s="19" t="str">
        <f>IF(OR(H59=0,H59=""),"",VLOOKUP(H59,$C$89:$E$230,3,FALSE))</f>
        <v/>
      </c>
      <c r="K59" s="42" t="str">
        <f>IF(OR(H59=0,H59=""),"",VLOOKUP(H59,$C$89:$F$230,4,FALSE))</f>
        <v/>
      </c>
      <c r="L59" s="23"/>
      <c r="M59" s="17"/>
      <c r="N59" s="17"/>
    </row>
    <row r="60" spans="2:14" ht="15.75" customHeight="1" x14ac:dyDescent="0.15">
      <c r="B60" s="24"/>
      <c r="C60" s="43">
        <f t="shared" si="2"/>
        <v>83</v>
      </c>
      <c r="D60" s="44" t="str">
        <f>IF(OR(C60=0,C60=""),"",VLOOKUP(C60,$C$89:$E$230,2,FALSE))</f>
        <v>施工段階図(13)</v>
      </c>
      <c r="E60" s="43" t="str">
        <f>IF(OR(C60=0,C60=""),"",VLOOKUP(C60,$C$89:$E$230,3,FALSE))</f>
        <v>1:300</v>
      </c>
      <c r="F60" s="45">
        <f>IF(OR(C60=0,C60=""),"",VLOOKUP(C60,$C$89:$F$228,4,FALSE))</f>
        <v>0</v>
      </c>
      <c r="G60" s="25"/>
      <c r="H60" s="19"/>
      <c r="I60" s="20" t="str">
        <f>IF(OR(H60=0,H60=""),"",VLOOKUP(H60,$C$89:$E$230,2,FALSE))</f>
        <v/>
      </c>
      <c r="J60" s="19" t="str">
        <f>IF(OR(H60=0,H60=""),"",VLOOKUP(H60,$C$89:$E$230,3,FALSE))</f>
        <v/>
      </c>
      <c r="K60" s="42" t="str">
        <f>IF(OR(H60=0,H60=""),"",VLOOKUP(H60,$C$89:$F$230,4,FALSE))</f>
        <v/>
      </c>
      <c r="L60" s="23"/>
      <c r="M60" s="17"/>
      <c r="N60" s="17"/>
    </row>
    <row r="61" spans="2:14" ht="15.75" customHeight="1" x14ac:dyDescent="0.15">
      <c r="B61" s="24"/>
      <c r="C61" s="43">
        <f t="shared" si="2"/>
        <v>84</v>
      </c>
      <c r="D61" s="44" t="str">
        <f>IF(OR(C61=0,C61=""),"",VLOOKUP(C61,$C$89:$E$230,2,FALSE))</f>
        <v>施工段階図(14)</v>
      </c>
      <c r="E61" s="43" t="str">
        <f>IF(OR(C61=0,C61=""),"",VLOOKUP(C61,$C$89:$E$230,3,FALSE))</f>
        <v>1:300</v>
      </c>
      <c r="F61" s="45">
        <f>IF(OR(C61=0,C61=""),"",VLOOKUP(C61,$C$89:$F$228,4,FALSE))</f>
        <v>0</v>
      </c>
      <c r="G61" s="25"/>
      <c r="H61" s="19"/>
      <c r="I61" s="20" t="str">
        <f>IF(OR(H61=0,H61=""),"",VLOOKUP(H61,$C$89:$E$230,2,FALSE))</f>
        <v/>
      </c>
      <c r="J61" s="19" t="str">
        <f>IF(OR(H61=0,H61=""),"",VLOOKUP(H61,$C$89:$E$230,3,FALSE))</f>
        <v/>
      </c>
      <c r="K61" s="42" t="str">
        <f>IF(OR(H61=0,H61=""),"",VLOOKUP(H61,$C$89:$F$230,4,FALSE))</f>
        <v/>
      </c>
      <c r="L61" s="23"/>
      <c r="M61" s="17"/>
      <c r="N61" s="17"/>
    </row>
    <row r="62" spans="2:14" ht="15.75" customHeight="1" x14ac:dyDescent="0.15">
      <c r="B62" s="24"/>
      <c r="C62" s="43">
        <f t="shared" si="2"/>
        <v>85</v>
      </c>
      <c r="D62" s="44" t="str">
        <f>IF(OR(C62=0,C62=""),"",VLOOKUP(C62,$C$89:$E$230,2,FALSE))</f>
        <v>施工段階図(15)</v>
      </c>
      <c r="E62" s="43" t="str">
        <f>IF(OR(C62=0,C62=""),"",VLOOKUP(C62,$C$89:$E$230,3,FALSE))</f>
        <v>1:300</v>
      </c>
      <c r="F62" s="45">
        <f>IF(OR(C62=0,C62=""),"",VLOOKUP(C62,$C$89:$F$228,4,FALSE))</f>
        <v>0</v>
      </c>
      <c r="G62" s="22"/>
      <c r="H62" s="19"/>
      <c r="I62" s="20" t="str">
        <f>IF(OR(H62=0,H62=""),"",VLOOKUP(H62,$C$89:$E$230,2,FALSE))</f>
        <v/>
      </c>
      <c r="J62" s="19" t="str">
        <f>IF(OR(H62=0,H62=""),"",VLOOKUP(H62,$C$89:$E$230,3,FALSE))</f>
        <v/>
      </c>
      <c r="K62" s="42" t="str">
        <f>IF(OR(H62=0,H62=""),"",VLOOKUP(H62,$C$89:$F$230,4,FALSE))</f>
        <v/>
      </c>
      <c r="L62" s="23"/>
      <c r="M62" s="17"/>
      <c r="N62" s="17"/>
    </row>
    <row r="63" spans="2:14" ht="15.75" customHeight="1" x14ac:dyDescent="0.15">
      <c r="B63" s="24"/>
      <c r="C63" s="43">
        <f t="shared" si="2"/>
        <v>86</v>
      </c>
      <c r="D63" s="44" t="str">
        <f>IF(OR(C63=0,C63=""),"",VLOOKUP(C63,$C$89:$E$230,2,FALSE))</f>
        <v>施工段階図(16)</v>
      </c>
      <c r="E63" s="43" t="str">
        <f>IF(OR(C63=0,C63=""),"",VLOOKUP(C63,$C$89:$E$230,3,FALSE))</f>
        <v>1:300</v>
      </c>
      <c r="F63" s="45">
        <f>IF(OR(C63=0,C63=""),"",VLOOKUP(C63,$C$89:$F$228,4,FALSE))</f>
        <v>0</v>
      </c>
      <c r="G63" s="22"/>
      <c r="H63" s="19"/>
      <c r="I63" s="20" t="str">
        <f>IF(OR(H63=0,H63=""),"",VLOOKUP(H63,$C$89:$E$230,2,FALSE))</f>
        <v/>
      </c>
      <c r="J63" s="19" t="str">
        <f>IF(OR(H63=0,H63=""),"",VLOOKUP(H63,$C$89:$E$230,3,FALSE))</f>
        <v/>
      </c>
      <c r="K63" s="42" t="str">
        <f>IF(OR(H63=0,H63=""),"",VLOOKUP(H63,$C$89:$F$230,4,FALSE))</f>
        <v/>
      </c>
      <c r="L63" s="23"/>
      <c r="M63" s="17"/>
      <c r="N63" s="17"/>
    </row>
    <row r="64" spans="2:14" ht="15.75" customHeight="1" x14ac:dyDescent="0.15">
      <c r="B64" s="24"/>
      <c r="C64" s="43">
        <f t="shared" si="2"/>
        <v>87</v>
      </c>
      <c r="D64" s="44" t="str">
        <f>IF(OR(C64=0,C64=""),"",VLOOKUP(C64,$C$89:$E$230,2,FALSE))</f>
        <v>函体施工手順図(参考図)</v>
      </c>
      <c r="E64" s="43" t="str">
        <f>IF(OR(C64=0,C64=""),"",VLOOKUP(C64,$C$89:$E$230,3,FALSE))</f>
        <v>-</v>
      </c>
      <c r="F64" s="42">
        <f>IF(OR(C64=0,C64=""),"",VLOOKUP(C64,$C$89:$F$228,4,FALSE))</f>
        <v>0</v>
      </c>
      <c r="G64" s="22"/>
      <c r="H64" s="19"/>
      <c r="I64" s="20" t="str">
        <f>IF(OR(H64=0,H64=""),"",VLOOKUP(H64,$C$89:$E$230,2,FALSE))</f>
        <v/>
      </c>
      <c r="J64" s="19" t="str">
        <f>IF(OR(H64=0,H64=""),"",VLOOKUP(H64,$C$89:$E$230,3,FALSE))</f>
        <v/>
      </c>
      <c r="K64" s="42" t="str">
        <f>IF(OR(H64=0,H64=""),"",VLOOKUP(H64,$C$89:$F$230,4,FALSE))</f>
        <v/>
      </c>
      <c r="L64" s="23"/>
      <c r="M64" s="17"/>
      <c r="N64" s="17"/>
    </row>
    <row r="65" spans="2:14" ht="15.75" customHeight="1" x14ac:dyDescent="0.15">
      <c r="B65" s="24"/>
      <c r="C65" s="43">
        <f t="shared" si="2"/>
        <v>88</v>
      </c>
      <c r="D65" s="44" t="str">
        <f>IF(OR(C65=0,C65=""),"",VLOOKUP(C65,$C$89:$E$230,2,FALSE))</f>
        <v>底面摩擦低減工図(参考図)</v>
      </c>
      <c r="E65" s="43" t="str">
        <f>IF(OR(C65=0,C65=""),"",VLOOKUP(C65,$C$89:$E$230,3,FALSE))</f>
        <v>図示</v>
      </c>
      <c r="F65" s="42">
        <f>IF(OR(C65=0,C65=""),"",VLOOKUP(C65,$C$89:$F$228,4,FALSE))</f>
        <v>0</v>
      </c>
      <c r="G65" s="22"/>
      <c r="H65" s="19"/>
      <c r="I65" s="20" t="str">
        <f>IF(OR(H65=0,H65=""),"",VLOOKUP(H65,$C$89:$E$230,2,FALSE))</f>
        <v/>
      </c>
      <c r="J65" s="19" t="str">
        <f>IF(OR(H65=0,H65=""),"",VLOOKUP(H65,$C$89:$E$230,3,FALSE))</f>
        <v/>
      </c>
      <c r="K65" s="42" t="str">
        <f>IF(OR(H65=0,H65=""),"",VLOOKUP(H65,$C$89:$F$230,4,FALSE))</f>
        <v/>
      </c>
      <c r="L65" s="23"/>
      <c r="M65" s="17"/>
      <c r="N65" s="17"/>
    </row>
    <row r="66" spans="2:14" ht="15.75" customHeight="1" x14ac:dyDescent="0.15">
      <c r="B66" s="24"/>
      <c r="C66" s="43">
        <f t="shared" si="2"/>
        <v>89</v>
      </c>
      <c r="D66" s="20" t="str">
        <f>IF(OR(C66=0,C66=""),"",VLOOKUP(C66,$C$89:$E$230,2,FALSE))</f>
        <v>函体横振れ制御構造図(参考図)</v>
      </c>
      <c r="E66" s="19" t="str">
        <f>IF(OR(C66=0,C66=""),"",VLOOKUP(C66,$C$89:$E$230,3,FALSE))</f>
        <v>図示</v>
      </c>
      <c r="F66" s="42">
        <f>IF(OR(C66=0,C66=""),"",VLOOKUP(C66,$C$89:$F$228,4,FALSE))</f>
        <v>0</v>
      </c>
      <c r="G66" s="22"/>
      <c r="H66" s="19"/>
      <c r="I66" s="20" t="str">
        <f>IF(OR(H66=0,H66=""),"",VLOOKUP(H66,$C$89:$E$230,2,FALSE))</f>
        <v/>
      </c>
      <c r="J66" s="19" t="str">
        <f>IF(OR(H66=0,H66=""),"",VLOOKUP(H66,$C$89:$E$230,3,FALSE))</f>
        <v/>
      </c>
      <c r="K66" s="42" t="str">
        <f>IF(OR(H66=0,H66=""),"",VLOOKUP(H66,$C$89:$F$230,4,FALSE))</f>
        <v/>
      </c>
      <c r="L66" s="23"/>
      <c r="M66" s="17"/>
      <c r="N66" s="17"/>
    </row>
    <row r="67" spans="2:14" ht="15.75" customHeight="1" x14ac:dyDescent="0.15">
      <c r="B67" s="24"/>
      <c r="C67" s="43">
        <f t="shared" si="2"/>
        <v>90</v>
      </c>
      <c r="D67" s="20" t="str">
        <f>IF(OR(C67=0,C67=""),"",VLOOKUP(C67,$C$89:$E$230,2,FALSE))</f>
        <v>可とう矢板詳細図(1)</v>
      </c>
      <c r="E67" s="19" t="str">
        <f>IF(OR(C67=0,C67=""),"",VLOOKUP(C67,$C$89:$E$230,3,FALSE))</f>
        <v>図示</v>
      </c>
      <c r="F67" s="42">
        <f>IF(OR(C67=0,C67=""),"",VLOOKUP(C67,$C$89:$F$228,4,FALSE))</f>
        <v>0</v>
      </c>
      <c r="G67" s="22"/>
      <c r="H67" s="19"/>
      <c r="I67" s="20" t="str">
        <f>IF(OR(H67=0,H67=""),"",VLOOKUP(H67,$C$89:$E$230,2,FALSE))</f>
        <v/>
      </c>
      <c r="J67" s="19" t="str">
        <f>IF(OR(H67=0,H67=""),"",VLOOKUP(H67,$C$89:$E$230,3,FALSE))</f>
        <v/>
      </c>
      <c r="K67" s="42" t="str">
        <f>IF(OR(H67=0,H67=""),"",VLOOKUP(H67,$C$89:$F$230,4,FALSE))</f>
        <v/>
      </c>
      <c r="L67" s="23"/>
      <c r="M67" s="17"/>
      <c r="N67" s="17"/>
    </row>
    <row r="68" spans="2:14" ht="15.75" customHeight="1" x14ac:dyDescent="0.15">
      <c r="B68" s="24"/>
      <c r="C68" s="43">
        <f t="shared" si="2"/>
        <v>91</v>
      </c>
      <c r="D68" s="20" t="str">
        <f>IF(OR(C68=0,C68=""),"",VLOOKUP(C68,$C$89:$E$230,2,FALSE))</f>
        <v>可とう矢板詳細図(2)</v>
      </c>
      <c r="E68" s="19" t="str">
        <f>IF(OR(C68=0,C68=""),"",VLOOKUP(C68,$C$89:$E$230,3,FALSE))</f>
        <v>図示</v>
      </c>
      <c r="F68" s="42">
        <f>IF(OR(C68=0,C68=""),"",VLOOKUP(C68,$C$89:$F$228,4,FALSE))</f>
        <v>0</v>
      </c>
      <c r="G68" s="22"/>
      <c r="H68" s="19"/>
      <c r="I68" s="20" t="str">
        <f>IF(OR(H68=0,H68=""),"",VLOOKUP(H68,$C$89:$E$230,2,FALSE))</f>
        <v/>
      </c>
      <c r="J68" s="19" t="str">
        <f>IF(OR(H68=0,H68=""),"",VLOOKUP(H68,$C$89:$E$230,3,FALSE))</f>
        <v/>
      </c>
      <c r="K68" s="42" t="str">
        <f>IF(OR(H68=0,H68=""),"",VLOOKUP(H68,$C$89:$F$230,4,FALSE))</f>
        <v/>
      </c>
      <c r="L68" s="23"/>
      <c r="M68" s="17"/>
      <c r="N68" s="17"/>
    </row>
    <row r="69" spans="2:14" ht="15.75" customHeight="1" x14ac:dyDescent="0.15">
      <c r="B69" s="24"/>
      <c r="C69" s="43">
        <f t="shared" si="2"/>
        <v>92</v>
      </c>
      <c r="D69" s="20" t="str">
        <f>IF(OR(C69=0,C69=""),"",VLOOKUP(C69,$C$89:$E$230,2,FALSE))</f>
        <v>建築先入れアンカー配置図(参考図)</v>
      </c>
      <c r="E69" s="19" t="str">
        <f>IF(OR(C69=0,C69=""),"",VLOOKUP(C69,$C$89:$E$230,3,FALSE))</f>
        <v>図示</v>
      </c>
      <c r="F69" s="42">
        <f>IF(OR(C69=0,C69=""),"",VLOOKUP(C69,$C$89:$F$228,4,FALSE))</f>
        <v>0</v>
      </c>
      <c r="G69" s="22"/>
      <c r="H69" s="19"/>
      <c r="I69" s="20" t="str">
        <f>IF(OR(H69=0,H69=""),"",VLOOKUP(H69,$C$89:$E$230,2,FALSE))</f>
        <v/>
      </c>
      <c r="J69" s="19" t="str">
        <f>IF(OR(H69=0,H69=""),"",VLOOKUP(H69,$C$89:$E$230,3,FALSE))</f>
        <v/>
      </c>
      <c r="K69" s="42" t="str">
        <f>IF(OR(H69=0,H69=""),"",VLOOKUP(H69,$C$89:$F$230,4,FALSE))</f>
        <v/>
      </c>
      <c r="L69" s="23"/>
      <c r="M69" s="17"/>
      <c r="N69" s="17"/>
    </row>
    <row r="70" spans="2:14" ht="15.75" customHeight="1" x14ac:dyDescent="0.15">
      <c r="B70" s="24"/>
      <c r="C70" s="43"/>
      <c r="D70" s="20" t="str">
        <f>IF(OR(C70=0,C70=""),"",VLOOKUP(C70,$C$89:$E$230,2,FALSE))</f>
        <v/>
      </c>
      <c r="E70" s="19" t="str">
        <f>IF(OR(C70=0,C70=""),"",VLOOKUP(C70,$C$89:$E$230,3,FALSE))</f>
        <v/>
      </c>
      <c r="F70" s="42" t="str">
        <f>IF(OR(C70=0,C70=""),"",VLOOKUP(C70,$C$89:$F$228,4,FALSE))</f>
        <v/>
      </c>
      <c r="G70" s="22"/>
      <c r="H70" s="19"/>
      <c r="I70" s="20" t="str">
        <f>IF(OR(H70=0,H70=""),"",VLOOKUP(H70,$C$89:$E$230,2,FALSE))</f>
        <v/>
      </c>
      <c r="J70" s="19" t="str">
        <f>IF(OR(H70=0,H70=""),"",VLOOKUP(H70,$C$89:$E$230,3,FALSE))</f>
        <v/>
      </c>
      <c r="K70" s="42" t="str">
        <f>IF(OR(H70=0,H70=""),"",VLOOKUP(H70,$C$89:$F$230,4,FALSE))</f>
        <v/>
      </c>
      <c r="L70" s="23"/>
      <c r="M70" s="17"/>
      <c r="N70" s="17"/>
    </row>
    <row r="71" spans="2:14" ht="15.75" customHeight="1" x14ac:dyDescent="0.15">
      <c r="B71" s="24"/>
      <c r="C71" s="19"/>
      <c r="D71" s="20" t="str">
        <f>IF(OR(C71=0,C71=""),"",VLOOKUP(C71,$C$89:$E$230,2,FALSE))</f>
        <v/>
      </c>
      <c r="E71" s="19" t="str">
        <f>IF(OR(C71=0,C71=""),"",VLOOKUP(C71,$C$89:$E$230,3,FALSE))</f>
        <v/>
      </c>
      <c r="F71" s="42" t="str">
        <f>IF(OR(C71=0,C71=""),"",VLOOKUP(C71,$C$89:$F$228,4,FALSE))</f>
        <v/>
      </c>
      <c r="G71" s="22"/>
      <c r="H71" s="19"/>
      <c r="I71" s="20" t="str">
        <f>IF(OR(H71=0,H71=""),"",VLOOKUP(H71,$C$89:$E$230,2,FALSE))</f>
        <v/>
      </c>
      <c r="J71" s="19" t="str">
        <f>IF(OR(H71=0,H71=""),"",VLOOKUP(H71,$C$89:$E$230,3,FALSE))</f>
        <v/>
      </c>
      <c r="K71" s="42" t="str">
        <f>IF(OR(H71=0,H71=""),"",VLOOKUP(H71,$C$89:$F$230,4,FALSE))</f>
        <v/>
      </c>
      <c r="L71" s="23"/>
      <c r="M71" s="17"/>
      <c r="N71" s="17"/>
    </row>
    <row r="72" spans="2:14" ht="15.75" customHeight="1" x14ac:dyDescent="0.15">
      <c r="B72" s="24"/>
      <c r="C72" s="19"/>
      <c r="D72" s="20" t="str">
        <f>IF(OR(C72=0,C72=""),"",VLOOKUP(C72,$C$89:$E$230,2,FALSE))</f>
        <v/>
      </c>
      <c r="E72" s="19" t="str">
        <f>IF(OR(C72=0,C72=""),"",VLOOKUP(C72,$C$89:$E$230,3,FALSE))</f>
        <v/>
      </c>
      <c r="F72" s="42" t="str">
        <f>IF(OR(C72=0,C72=""),"",VLOOKUP(C72,$C$89:$F$228,4,FALSE))</f>
        <v/>
      </c>
      <c r="G72" s="22"/>
      <c r="H72" s="19"/>
      <c r="I72" s="20" t="str">
        <f>IF(OR(H72=0,H72=""),"",VLOOKUP(H72,$C$89:$E$230,2,FALSE))</f>
        <v/>
      </c>
      <c r="J72" s="19" t="str">
        <f>IF(OR(H72=0,H72=""),"",VLOOKUP(H72,$C$89:$E$230,3,FALSE))</f>
        <v/>
      </c>
      <c r="K72" s="42" t="str">
        <f>IF(OR(H72=0,H72=""),"",VLOOKUP(H72,$C$89:$F$230,4,FALSE))</f>
        <v/>
      </c>
      <c r="L72" s="23"/>
      <c r="M72" s="17"/>
      <c r="N72" s="17"/>
    </row>
    <row r="73" spans="2:14" ht="15.75" customHeight="1" x14ac:dyDescent="0.15">
      <c r="B73" s="24"/>
      <c r="C73" s="19"/>
      <c r="D73" s="20" t="str">
        <f>IF(OR(C73=0,C73=""),"",VLOOKUP(C73,$C$89:$E$230,2,FALSE))</f>
        <v/>
      </c>
      <c r="E73" s="19" t="str">
        <f>IF(OR(C73=0,C73=""),"",VLOOKUP(C73,$C$89:$E$230,3,FALSE))</f>
        <v/>
      </c>
      <c r="F73" s="42" t="str">
        <f>IF(OR(C73=0,C73=""),"",VLOOKUP(C73,$C$89:$F$228,4,FALSE))</f>
        <v/>
      </c>
      <c r="G73" s="22"/>
      <c r="H73" s="19"/>
      <c r="I73" s="20" t="str">
        <f>IF(OR(H73=0,H73=""),"",VLOOKUP(H73,$C$89:$E$230,2,FALSE))</f>
        <v/>
      </c>
      <c r="J73" s="19" t="str">
        <f>IF(OR(H73=0,H73=""),"",VLOOKUP(H73,$C$89:$E$230,3,FALSE))</f>
        <v/>
      </c>
      <c r="K73" s="42" t="str">
        <f>IF(OR(H73=0,H73=""),"",VLOOKUP(H73,$C$89:$F$230,4,FALSE))</f>
        <v/>
      </c>
      <c r="L73" s="23"/>
      <c r="M73" s="17"/>
      <c r="N73" s="17"/>
    </row>
    <row r="74" spans="2:14" ht="15.75" customHeight="1" x14ac:dyDescent="0.15">
      <c r="B74" s="24"/>
      <c r="C74" s="19"/>
      <c r="D74" s="20" t="str">
        <f>IF(OR(C74=0,C74=""),"",VLOOKUP(C74,$C$89:$E$230,2,FALSE))</f>
        <v/>
      </c>
      <c r="E74" s="19" t="str">
        <f>IF(OR(C74=0,C74=""),"",VLOOKUP(C74,$C$89:$E$230,3,FALSE))</f>
        <v/>
      </c>
      <c r="F74" s="42" t="str">
        <f>IF(OR(C74=0,C74=""),"",VLOOKUP(C74,$C$89:$F$228,4,FALSE))</f>
        <v/>
      </c>
      <c r="G74" s="22"/>
      <c r="H74" s="19"/>
      <c r="I74" s="20" t="str">
        <f>IF(OR(H74=0,H74=""),"",VLOOKUP(H74,$C$89:$E$230,2,FALSE))</f>
        <v/>
      </c>
      <c r="J74" s="19" t="str">
        <f>IF(OR(H74=0,H74=""),"",VLOOKUP(H74,$C$89:$E$230,3,FALSE))</f>
        <v/>
      </c>
      <c r="K74" s="42" t="str">
        <f>IF(OR(H74=0,H74=""),"",VLOOKUP(H74,$C$89:$F$230,4,FALSE))</f>
        <v/>
      </c>
      <c r="L74" s="23"/>
      <c r="M74" s="17"/>
      <c r="N74" s="17"/>
    </row>
    <row r="75" spans="2:14" ht="15.75" customHeight="1" x14ac:dyDescent="0.15">
      <c r="B75" s="24"/>
      <c r="C75" s="19"/>
      <c r="D75" s="20" t="str">
        <f>IF(OR(C75=0,C75=""),"",VLOOKUP(C75,$C$89:$E$230,2,FALSE))</f>
        <v/>
      </c>
      <c r="E75" s="19" t="str">
        <f>IF(OR(C75=0,C75=""),"",VLOOKUP(C75,$C$89:$E$230,3,FALSE))</f>
        <v/>
      </c>
      <c r="F75" s="42" t="str">
        <f>IF(OR(C75=0,C75=""),"",VLOOKUP(C75,$C$89:$F$228,4,FALSE))</f>
        <v/>
      </c>
      <c r="G75" s="22"/>
      <c r="H75" s="19"/>
      <c r="I75" s="20" t="str">
        <f>IF(OR(H75=0,H75=""),"",VLOOKUP(H75,$C$89:$E$230,2,FALSE))</f>
        <v/>
      </c>
      <c r="J75" s="19" t="str">
        <f>IF(OR(H75=0,H75=""),"",VLOOKUP(H75,$C$89:$E$230,3,FALSE))</f>
        <v/>
      </c>
      <c r="K75" s="42" t="str">
        <f>IF(OR(H75=0,H75=""),"",VLOOKUP(H75,$C$89:$F$230,4,FALSE))</f>
        <v/>
      </c>
      <c r="L75" s="23"/>
      <c r="M75" s="17"/>
      <c r="N75" s="17"/>
    </row>
    <row r="76" spans="2:14" ht="15.75" customHeight="1" x14ac:dyDescent="0.15">
      <c r="B76" s="24"/>
      <c r="C76" s="19"/>
      <c r="D76" s="20" t="str">
        <f>IF(OR(C76=0,C76=""),"",VLOOKUP(C76,$C$89:$E$230,2,FALSE))</f>
        <v/>
      </c>
      <c r="E76" s="19" t="str">
        <f>IF(OR(C76=0,C76=""),"",VLOOKUP(C76,$C$89:$E$230,3,FALSE))</f>
        <v/>
      </c>
      <c r="F76" s="42" t="str">
        <f>IF(OR(C76=0,C76=""),"",VLOOKUP(C76,$C$89:$F$228,4,FALSE))</f>
        <v/>
      </c>
      <c r="G76" s="22"/>
      <c r="H76" s="19"/>
      <c r="I76" s="20" t="str">
        <f>IF(OR(H76=0,H76=""),"",VLOOKUP(H76,$C$89:$E$230,2,FALSE))</f>
        <v/>
      </c>
      <c r="J76" s="19" t="str">
        <f>IF(OR(H76=0,H76=""),"",VLOOKUP(H76,$C$89:$E$230,3,FALSE))</f>
        <v/>
      </c>
      <c r="K76" s="42" t="str">
        <f>IF(OR(H76=0,H76=""),"",VLOOKUP(H76,$C$89:$F$230,4,FALSE))</f>
        <v/>
      </c>
      <c r="L76" s="23"/>
      <c r="M76" s="17"/>
      <c r="N76" s="17"/>
    </row>
    <row r="77" spans="2:14" ht="18" customHeight="1" x14ac:dyDescent="0.15">
      <c r="B77" s="26"/>
      <c r="C77" s="27"/>
      <c r="D77" s="28"/>
      <c r="E77" s="27"/>
      <c r="F77" s="27"/>
      <c r="G77" s="29"/>
      <c r="H77" s="27"/>
      <c r="I77" s="28"/>
      <c r="J77" s="27"/>
      <c r="K77" s="27"/>
      <c r="L77" s="30"/>
      <c r="M77" s="17"/>
      <c r="N77" s="17"/>
    </row>
    <row r="78" spans="2:14" ht="18" customHeight="1" x14ac:dyDescent="0.15">
      <c r="B78" s="15"/>
      <c r="C78" s="31"/>
      <c r="D78" s="32"/>
      <c r="E78" s="31"/>
      <c r="F78" s="31"/>
      <c r="G78" s="15"/>
      <c r="H78" s="31"/>
      <c r="I78" s="32"/>
      <c r="J78" s="31"/>
      <c r="K78" s="31"/>
      <c r="L78" s="17"/>
      <c r="M78" s="17"/>
      <c r="N78" s="17"/>
    </row>
    <row r="79" spans="2:14" ht="18" customHeight="1" x14ac:dyDescent="0.15">
      <c r="B79" s="15"/>
      <c r="C79" s="31"/>
      <c r="D79" s="32"/>
      <c r="E79" s="31"/>
      <c r="F79" s="31"/>
      <c r="G79" s="15"/>
      <c r="H79" s="31"/>
      <c r="I79" s="32"/>
      <c r="J79" s="31"/>
      <c r="K79" s="31"/>
      <c r="L79" s="17"/>
      <c r="M79" s="17"/>
      <c r="N79" s="17"/>
    </row>
    <row r="80" spans="2:14" x14ac:dyDescent="0.15">
      <c r="C80" s="31"/>
      <c r="D80" s="32"/>
      <c r="E80" s="31"/>
      <c r="F80" s="31"/>
      <c r="H80" s="31"/>
      <c r="I80" s="32"/>
      <c r="J80" s="31"/>
      <c r="K80" s="31"/>
      <c r="N80" s="17"/>
    </row>
    <row r="81" spans="3:14" x14ac:dyDescent="0.15">
      <c r="C81" s="31"/>
      <c r="D81" s="32"/>
      <c r="E81" s="31"/>
      <c r="F81" s="31"/>
      <c r="H81" s="31"/>
      <c r="I81" s="32"/>
      <c r="J81" s="31"/>
      <c r="K81" s="31"/>
      <c r="N81" s="17"/>
    </row>
    <row r="82" spans="3:14" x14ac:dyDescent="0.15">
      <c r="C82" s="31"/>
      <c r="D82" s="32"/>
      <c r="E82" s="31"/>
      <c r="F82" s="31"/>
      <c r="H82" s="31"/>
      <c r="I82" s="32"/>
      <c r="J82" s="31"/>
      <c r="K82" s="31"/>
      <c r="N82" s="17"/>
    </row>
    <row r="83" spans="3:14" x14ac:dyDescent="0.15">
      <c r="C83" s="31"/>
      <c r="D83" s="32"/>
      <c r="E83" s="31"/>
      <c r="F83" s="31"/>
      <c r="H83" s="31"/>
      <c r="I83" s="32"/>
      <c r="J83" s="31"/>
      <c r="K83" s="31"/>
      <c r="N83" s="17"/>
    </row>
    <row r="84" spans="3:14" x14ac:dyDescent="0.15">
      <c r="C84" s="31"/>
      <c r="D84" s="32"/>
      <c r="E84" s="31"/>
      <c r="F84" s="31"/>
      <c r="H84" s="31"/>
      <c r="I84" s="32"/>
      <c r="J84" s="31"/>
      <c r="K84" s="31"/>
      <c r="N84" s="17"/>
    </row>
    <row r="85" spans="3:14" x14ac:dyDescent="0.15">
      <c r="C85" s="31"/>
      <c r="D85" s="32"/>
      <c r="E85" s="31"/>
      <c r="F85" s="31"/>
      <c r="H85" s="31"/>
      <c r="I85" s="32"/>
      <c r="J85" s="31"/>
      <c r="K85" s="31"/>
      <c r="N85" s="17"/>
    </row>
    <row r="86" spans="3:14" x14ac:dyDescent="0.15">
      <c r="C86" s="31"/>
      <c r="D86" s="32"/>
      <c r="E86" s="31"/>
      <c r="F86" s="31"/>
      <c r="H86" s="31"/>
      <c r="I86" s="32"/>
      <c r="J86" s="31"/>
      <c r="K86" s="31"/>
      <c r="N86" s="17"/>
    </row>
    <row r="87" spans="3:14" x14ac:dyDescent="0.15">
      <c r="C87" s="31"/>
      <c r="D87" s="32"/>
      <c r="E87" s="31"/>
      <c r="F87" s="31"/>
      <c r="H87" s="31"/>
      <c r="I87" s="32"/>
      <c r="J87" s="31"/>
      <c r="K87" s="31"/>
      <c r="N87" s="17"/>
    </row>
    <row r="88" spans="3:14" x14ac:dyDescent="0.15">
      <c r="C88" s="31"/>
      <c r="D88" s="32"/>
      <c r="E88" s="31"/>
      <c r="F88" s="31"/>
      <c r="H88" s="31"/>
      <c r="I88" s="32"/>
      <c r="J88" s="31"/>
      <c r="K88" s="31"/>
      <c r="N88" s="17"/>
    </row>
    <row r="89" spans="3:14" x14ac:dyDescent="0.15">
      <c r="C89" s="46">
        <v>1</v>
      </c>
      <c r="D89" s="47" t="s">
        <v>86</v>
      </c>
      <c r="E89" s="51" t="s">
        <v>87</v>
      </c>
      <c r="F89" s="48"/>
      <c r="H89" s="31"/>
      <c r="I89" s="32"/>
      <c r="J89" s="31"/>
      <c r="K89" s="31"/>
      <c r="N89" s="17"/>
    </row>
    <row r="90" spans="3:14" x14ac:dyDescent="0.15">
      <c r="C90" s="33">
        <f>C89+1</f>
        <v>2</v>
      </c>
      <c r="D90" s="2" t="s">
        <v>88</v>
      </c>
      <c r="E90" s="52" t="s">
        <v>89</v>
      </c>
      <c r="F90" s="34"/>
      <c r="H90" s="31"/>
      <c r="I90" s="32"/>
      <c r="J90" s="31"/>
      <c r="K90" s="31"/>
      <c r="N90" s="17"/>
    </row>
    <row r="91" spans="3:14" x14ac:dyDescent="0.15">
      <c r="C91" s="33">
        <f>C90+1</f>
        <v>3</v>
      </c>
      <c r="D91" s="2" t="s">
        <v>90</v>
      </c>
      <c r="E91" s="53" t="s">
        <v>91</v>
      </c>
      <c r="F91" s="34"/>
      <c r="H91" s="31"/>
      <c r="I91" s="32"/>
      <c r="J91" s="31"/>
      <c r="K91" s="31"/>
      <c r="N91" s="17"/>
    </row>
    <row r="92" spans="3:14" x14ac:dyDescent="0.15">
      <c r="C92" s="33">
        <f>C91+1</f>
        <v>4</v>
      </c>
      <c r="D92" s="2" t="s">
        <v>92</v>
      </c>
      <c r="E92" s="53" t="s">
        <v>42</v>
      </c>
      <c r="F92" s="34"/>
      <c r="H92" s="31"/>
      <c r="I92" s="32"/>
      <c r="J92" s="31"/>
      <c r="K92" s="31"/>
      <c r="N92" s="17"/>
    </row>
    <row r="93" spans="3:14" x14ac:dyDescent="0.15">
      <c r="C93" s="33">
        <f>C92+1</f>
        <v>5</v>
      </c>
      <c r="D93" s="2" t="s">
        <v>120</v>
      </c>
      <c r="E93" s="53" t="s">
        <v>42</v>
      </c>
      <c r="F93" s="34"/>
      <c r="H93" s="31"/>
      <c r="I93" s="32"/>
      <c r="J93" s="31"/>
      <c r="K93" s="31"/>
      <c r="N93" s="17"/>
    </row>
    <row r="94" spans="3:14" x14ac:dyDescent="0.15">
      <c r="C94" s="33">
        <v>6</v>
      </c>
      <c r="D94" s="2" t="s">
        <v>93</v>
      </c>
      <c r="E94" s="52" t="s">
        <v>42</v>
      </c>
      <c r="F94" s="34"/>
      <c r="H94" s="31"/>
      <c r="I94" s="32"/>
      <c r="J94" s="31"/>
      <c r="K94" s="31"/>
      <c r="N94" s="17"/>
    </row>
    <row r="95" spans="3:14" x14ac:dyDescent="0.15">
      <c r="C95" s="33">
        <f t="shared" ref="C95:C170" si="3">C94+1</f>
        <v>7</v>
      </c>
      <c r="D95" s="2" t="s">
        <v>94</v>
      </c>
      <c r="E95" s="53" t="s">
        <v>62</v>
      </c>
      <c r="F95" s="34"/>
      <c r="H95" s="31"/>
      <c r="I95" s="32"/>
      <c r="J95" s="31"/>
      <c r="K95" s="31"/>
      <c r="N95" s="17"/>
    </row>
    <row r="96" spans="3:14" x14ac:dyDescent="0.15">
      <c r="C96" s="33">
        <f t="shared" si="3"/>
        <v>8</v>
      </c>
      <c r="D96" s="2" t="s">
        <v>37</v>
      </c>
      <c r="E96" s="53" t="s">
        <v>96</v>
      </c>
      <c r="F96" s="34"/>
      <c r="H96" s="31"/>
      <c r="I96" s="32"/>
      <c r="J96" s="31"/>
      <c r="K96" s="31"/>
      <c r="N96" s="17"/>
    </row>
    <row r="97" spans="3:11" x14ac:dyDescent="0.15">
      <c r="C97" s="33">
        <f t="shared" si="3"/>
        <v>9</v>
      </c>
      <c r="D97" s="2" t="s">
        <v>38</v>
      </c>
      <c r="E97" s="53" t="s">
        <v>96</v>
      </c>
      <c r="F97" s="34"/>
      <c r="H97" s="31"/>
      <c r="I97" s="32"/>
      <c r="J97" s="31"/>
      <c r="K97" s="31"/>
    </row>
    <row r="98" spans="3:11" x14ac:dyDescent="0.15">
      <c r="C98" s="33">
        <f t="shared" si="3"/>
        <v>10</v>
      </c>
      <c r="D98" s="2" t="s">
        <v>39</v>
      </c>
      <c r="E98" s="53" t="s">
        <v>96</v>
      </c>
      <c r="F98" s="34"/>
      <c r="H98" s="31"/>
      <c r="I98" s="32"/>
      <c r="J98" s="31"/>
      <c r="K98" s="31"/>
    </row>
    <row r="99" spans="3:11" x14ac:dyDescent="0.15">
      <c r="C99" s="33">
        <f t="shared" si="3"/>
        <v>11</v>
      </c>
      <c r="D99" s="2" t="s">
        <v>10</v>
      </c>
      <c r="E99" s="53" t="s">
        <v>96</v>
      </c>
      <c r="F99" s="34"/>
      <c r="H99" s="31"/>
      <c r="I99" s="32"/>
      <c r="J99" s="31"/>
      <c r="K99" s="31"/>
    </row>
    <row r="100" spans="3:11" x14ac:dyDescent="0.15">
      <c r="C100" s="33">
        <f t="shared" si="3"/>
        <v>12</v>
      </c>
      <c r="D100" s="2" t="s">
        <v>11</v>
      </c>
      <c r="E100" s="53" t="s">
        <v>96</v>
      </c>
      <c r="F100" s="34"/>
      <c r="H100" s="31"/>
      <c r="I100" s="32"/>
      <c r="J100" s="31"/>
      <c r="K100" s="31"/>
    </row>
    <row r="101" spans="3:11" x14ac:dyDescent="0.15">
      <c r="C101" s="33">
        <f t="shared" si="3"/>
        <v>13</v>
      </c>
      <c r="D101" s="2" t="s">
        <v>30</v>
      </c>
      <c r="E101" s="52" t="s">
        <v>5</v>
      </c>
      <c r="F101" s="34"/>
      <c r="H101" s="31"/>
      <c r="I101" s="32"/>
      <c r="J101" s="31"/>
      <c r="K101" s="31"/>
    </row>
    <row r="102" spans="3:11" x14ac:dyDescent="0.15">
      <c r="C102" s="33">
        <f t="shared" si="3"/>
        <v>14</v>
      </c>
      <c r="D102" s="2" t="s">
        <v>124</v>
      </c>
      <c r="E102" s="52" t="s">
        <v>126</v>
      </c>
      <c r="F102" s="34"/>
      <c r="H102" s="31"/>
      <c r="I102" s="32"/>
      <c r="J102" s="31"/>
      <c r="K102" s="31"/>
    </row>
    <row r="103" spans="3:11" x14ac:dyDescent="0.15">
      <c r="C103" s="33">
        <f t="shared" si="3"/>
        <v>15</v>
      </c>
      <c r="D103" s="2" t="s">
        <v>127</v>
      </c>
      <c r="E103" s="52" t="s">
        <v>126</v>
      </c>
      <c r="F103" s="34"/>
      <c r="G103" s="1" t="s">
        <v>4</v>
      </c>
      <c r="H103" s="31"/>
      <c r="I103" s="32"/>
      <c r="J103" s="31"/>
      <c r="K103" s="31"/>
    </row>
    <row r="104" spans="3:11" x14ac:dyDescent="0.15">
      <c r="C104" s="33">
        <f t="shared" si="3"/>
        <v>16</v>
      </c>
      <c r="D104" s="2" t="s">
        <v>128</v>
      </c>
      <c r="E104" s="52" t="s">
        <v>125</v>
      </c>
      <c r="F104" s="34"/>
      <c r="H104" s="31"/>
      <c r="I104" s="32"/>
      <c r="J104" s="31"/>
      <c r="K104" s="31"/>
    </row>
    <row r="105" spans="3:11" x14ac:dyDescent="0.15">
      <c r="C105" s="33">
        <f t="shared" si="3"/>
        <v>17</v>
      </c>
      <c r="D105" s="2" t="s">
        <v>129</v>
      </c>
      <c r="E105" s="52" t="s">
        <v>125</v>
      </c>
      <c r="F105" s="34"/>
      <c r="H105" s="31"/>
      <c r="I105" s="32"/>
      <c r="J105" s="31"/>
      <c r="K105" s="31"/>
    </row>
    <row r="106" spans="3:11" x14ac:dyDescent="0.15">
      <c r="C106" s="33">
        <f t="shared" si="3"/>
        <v>18</v>
      </c>
      <c r="D106" s="2" t="s">
        <v>130</v>
      </c>
      <c r="E106" s="52" t="s">
        <v>125</v>
      </c>
      <c r="F106" s="34"/>
      <c r="H106" s="31"/>
      <c r="I106" s="32"/>
      <c r="J106" s="31"/>
      <c r="K106" s="31"/>
    </row>
    <row r="107" spans="3:11" x14ac:dyDescent="0.15">
      <c r="C107" s="33">
        <f t="shared" si="3"/>
        <v>19</v>
      </c>
      <c r="D107" s="2" t="s">
        <v>131</v>
      </c>
      <c r="E107" s="53" t="s">
        <v>5</v>
      </c>
      <c r="F107" s="34"/>
      <c r="H107" s="31"/>
      <c r="I107" s="32"/>
      <c r="J107" s="31"/>
      <c r="K107" s="31"/>
    </row>
    <row r="108" spans="3:11" x14ac:dyDescent="0.15">
      <c r="C108" s="33">
        <f t="shared" si="3"/>
        <v>20</v>
      </c>
      <c r="D108" s="2" t="s">
        <v>132</v>
      </c>
      <c r="E108" s="53" t="s">
        <v>5</v>
      </c>
      <c r="F108" s="34"/>
      <c r="H108" s="31"/>
      <c r="I108" s="32"/>
      <c r="J108" s="31"/>
      <c r="K108" s="31"/>
    </row>
    <row r="109" spans="3:11" x14ac:dyDescent="0.15">
      <c r="C109" s="33">
        <f t="shared" si="3"/>
        <v>21</v>
      </c>
      <c r="D109" s="2" t="s">
        <v>133</v>
      </c>
      <c r="E109" s="53" t="s">
        <v>5</v>
      </c>
      <c r="F109" s="34"/>
      <c r="H109" s="31"/>
      <c r="I109" s="32"/>
      <c r="J109" s="31"/>
      <c r="K109" s="31"/>
    </row>
    <row r="110" spans="3:11" x14ac:dyDescent="0.15">
      <c r="C110" s="33">
        <f t="shared" si="3"/>
        <v>22</v>
      </c>
      <c r="D110" s="2" t="s">
        <v>134</v>
      </c>
      <c r="E110" s="53" t="s">
        <v>5</v>
      </c>
      <c r="F110" s="34"/>
      <c r="H110" s="31"/>
      <c r="I110" s="32"/>
      <c r="J110" s="31"/>
      <c r="K110" s="31"/>
    </row>
    <row r="111" spans="3:11" x14ac:dyDescent="0.15">
      <c r="C111" s="33">
        <f t="shared" si="3"/>
        <v>23</v>
      </c>
      <c r="D111" s="2" t="s">
        <v>146</v>
      </c>
      <c r="E111" s="52" t="s">
        <v>5</v>
      </c>
      <c r="F111" s="34"/>
      <c r="H111" s="31"/>
      <c r="I111" s="32"/>
      <c r="J111" s="31"/>
      <c r="K111" s="31"/>
    </row>
    <row r="112" spans="3:11" x14ac:dyDescent="0.15">
      <c r="C112" s="33">
        <f t="shared" si="3"/>
        <v>24</v>
      </c>
      <c r="D112" s="2" t="s">
        <v>147</v>
      </c>
      <c r="E112" s="52" t="s">
        <v>5</v>
      </c>
      <c r="F112" s="34"/>
      <c r="H112" s="31"/>
      <c r="I112" s="32"/>
      <c r="J112" s="31"/>
      <c r="K112" s="31"/>
    </row>
    <row r="113" spans="3:11" x14ac:dyDescent="0.15">
      <c r="C113" s="33">
        <f t="shared" si="3"/>
        <v>25</v>
      </c>
      <c r="D113" s="2" t="s">
        <v>148</v>
      </c>
      <c r="E113" s="52" t="s">
        <v>5</v>
      </c>
      <c r="F113" s="34"/>
      <c r="H113" s="31"/>
      <c r="I113" s="32"/>
      <c r="J113" s="31"/>
      <c r="K113" s="31"/>
    </row>
    <row r="114" spans="3:11" x14ac:dyDescent="0.15">
      <c r="C114" s="33">
        <f t="shared" si="3"/>
        <v>26</v>
      </c>
      <c r="D114" s="2" t="s">
        <v>31</v>
      </c>
      <c r="E114" s="52" t="s">
        <v>7</v>
      </c>
      <c r="F114" s="34"/>
      <c r="H114" s="31"/>
      <c r="I114" s="32"/>
      <c r="J114" s="31"/>
      <c r="K114" s="31"/>
    </row>
    <row r="115" spans="3:11" x14ac:dyDescent="0.15">
      <c r="C115" s="33">
        <f t="shared" si="3"/>
        <v>27</v>
      </c>
      <c r="D115" s="2" t="s">
        <v>32</v>
      </c>
      <c r="E115" s="52" t="s">
        <v>5</v>
      </c>
      <c r="F115" s="34"/>
      <c r="H115" s="31"/>
      <c r="I115" s="32"/>
      <c r="J115" s="31"/>
      <c r="K115" s="31"/>
    </row>
    <row r="116" spans="3:11" x14ac:dyDescent="0.15">
      <c r="C116" s="33">
        <f t="shared" si="3"/>
        <v>28</v>
      </c>
      <c r="D116" s="2" t="s">
        <v>97</v>
      </c>
      <c r="E116" s="52" t="s">
        <v>8</v>
      </c>
      <c r="F116" s="34"/>
      <c r="H116" s="31"/>
      <c r="I116" s="32"/>
      <c r="J116" s="31"/>
      <c r="K116" s="31"/>
    </row>
    <row r="117" spans="3:11" x14ac:dyDescent="0.15">
      <c r="C117" s="33">
        <f t="shared" si="3"/>
        <v>29</v>
      </c>
      <c r="D117" s="2" t="s">
        <v>98</v>
      </c>
      <c r="E117" s="52" t="s">
        <v>6</v>
      </c>
      <c r="F117" s="34"/>
      <c r="H117" s="31"/>
      <c r="I117" s="32"/>
      <c r="J117" s="31"/>
      <c r="K117" s="31"/>
    </row>
    <row r="118" spans="3:11" x14ac:dyDescent="0.15">
      <c r="C118" s="33">
        <f t="shared" si="3"/>
        <v>30</v>
      </c>
      <c r="D118" s="2" t="s">
        <v>99</v>
      </c>
      <c r="E118" s="52" t="s">
        <v>6</v>
      </c>
      <c r="F118" s="34"/>
      <c r="H118" s="31"/>
      <c r="I118" s="32"/>
      <c r="J118" s="31"/>
      <c r="K118" s="31"/>
    </row>
    <row r="119" spans="3:11" x14ac:dyDescent="0.15">
      <c r="C119" s="33">
        <f t="shared" si="3"/>
        <v>31</v>
      </c>
      <c r="D119" s="2" t="s">
        <v>100</v>
      </c>
      <c r="E119" s="52" t="s">
        <v>6</v>
      </c>
      <c r="F119" s="34"/>
      <c r="H119" s="31"/>
      <c r="I119" s="32"/>
      <c r="J119" s="31"/>
      <c r="K119" s="31"/>
    </row>
    <row r="120" spans="3:11" x14ac:dyDescent="0.15">
      <c r="C120" s="33">
        <f t="shared" si="3"/>
        <v>32</v>
      </c>
      <c r="D120" s="2" t="s">
        <v>101</v>
      </c>
      <c r="E120" s="52" t="s">
        <v>6</v>
      </c>
      <c r="F120" s="34"/>
      <c r="H120" s="31"/>
      <c r="I120" s="32"/>
      <c r="J120" s="31"/>
      <c r="K120" s="31"/>
    </row>
    <row r="121" spans="3:11" x14ac:dyDescent="0.15">
      <c r="C121" s="33">
        <f t="shared" si="3"/>
        <v>33</v>
      </c>
      <c r="D121" s="2" t="s">
        <v>102</v>
      </c>
      <c r="E121" s="52" t="s">
        <v>6</v>
      </c>
      <c r="F121" s="34"/>
      <c r="H121" s="31"/>
      <c r="I121" s="32"/>
      <c r="J121" s="31"/>
      <c r="K121" s="31"/>
    </row>
    <row r="122" spans="3:11" x14ac:dyDescent="0.15">
      <c r="C122" s="33">
        <f t="shared" si="3"/>
        <v>34</v>
      </c>
      <c r="D122" s="2" t="s">
        <v>103</v>
      </c>
      <c r="E122" s="52" t="s">
        <v>6</v>
      </c>
      <c r="F122" s="34"/>
      <c r="H122" s="31"/>
      <c r="I122" s="32"/>
      <c r="J122" s="31"/>
      <c r="K122" s="31"/>
    </row>
    <row r="123" spans="3:11" x14ac:dyDescent="0.15">
      <c r="C123" s="33">
        <f t="shared" si="3"/>
        <v>35</v>
      </c>
      <c r="D123" s="2" t="s">
        <v>104</v>
      </c>
      <c r="E123" s="52" t="s">
        <v>6</v>
      </c>
      <c r="F123" s="34"/>
      <c r="H123" s="31"/>
      <c r="I123" s="32"/>
      <c r="J123" s="31"/>
      <c r="K123" s="31"/>
    </row>
    <row r="124" spans="3:11" x14ac:dyDescent="0.15">
      <c r="C124" s="33">
        <f t="shared" si="3"/>
        <v>36</v>
      </c>
      <c r="D124" s="2" t="s">
        <v>105</v>
      </c>
      <c r="E124" s="52" t="s">
        <v>6</v>
      </c>
      <c r="F124" s="34"/>
      <c r="H124" s="31"/>
      <c r="I124" s="32"/>
      <c r="J124" s="31"/>
      <c r="K124" s="31"/>
    </row>
    <row r="125" spans="3:11" x14ac:dyDescent="0.15">
      <c r="C125" s="33">
        <f t="shared" si="3"/>
        <v>37</v>
      </c>
      <c r="D125" s="2" t="s">
        <v>106</v>
      </c>
      <c r="E125" s="52" t="s">
        <v>6</v>
      </c>
      <c r="F125" s="34"/>
      <c r="H125" s="31"/>
      <c r="I125" s="32"/>
      <c r="J125" s="31"/>
      <c r="K125" s="31"/>
    </row>
    <row r="126" spans="3:11" x14ac:dyDescent="0.15">
      <c r="C126" s="33">
        <f t="shared" si="3"/>
        <v>38</v>
      </c>
      <c r="D126" s="2" t="s">
        <v>107</v>
      </c>
      <c r="E126" s="52" t="s">
        <v>6</v>
      </c>
      <c r="F126" s="34"/>
      <c r="H126" s="31"/>
      <c r="I126" s="32"/>
      <c r="J126" s="31"/>
      <c r="K126" s="31"/>
    </row>
    <row r="127" spans="3:11" x14ac:dyDescent="0.15">
      <c r="C127" s="33">
        <f t="shared" si="3"/>
        <v>39</v>
      </c>
      <c r="D127" s="2" t="s">
        <v>108</v>
      </c>
      <c r="E127" s="53" t="s">
        <v>6</v>
      </c>
      <c r="F127" s="34"/>
      <c r="H127" s="31"/>
      <c r="I127" s="32"/>
      <c r="J127" s="31"/>
      <c r="K127" s="31"/>
    </row>
    <row r="128" spans="3:11" x14ac:dyDescent="0.15">
      <c r="C128" s="33">
        <f t="shared" si="3"/>
        <v>40</v>
      </c>
      <c r="D128" s="2" t="s">
        <v>109</v>
      </c>
      <c r="E128" s="53" t="s">
        <v>6</v>
      </c>
      <c r="F128" s="34"/>
      <c r="H128" s="31"/>
      <c r="I128" s="32"/>
      <c r="J128" s="31"/>
      <c r="K128" s="31"/>
    </row>
    <row r="129" spans="3:11" x14ac:dyDescent="0.15">
      <c r="C129" s="33">
        <f t="shared" si="3"/>
        <v>41</v>
      </c>
      <c r="D129" s="2" t="s">
        <v>110</v>
      </c>
      <c r="E129" s="53" t="s">
        <v>6</v>
      </c>
      <c r="F129" s="34"/>
      <c r="H129" s="31"/>
      <c r="I129" s="32"/>
      <c r="J129" s="31"/>
      <c r="K129" s="31"/>
    </row>
    <row r="130" spans="3:11" x14ac:dyDescent="0.15">
      <c r="C130" s="33">
        <f t="shared" si="3"/>
        <v>42</v>
      </c>
      <c r="D130" s="2" t="s">
        <v>111</v>
      </c>
      <c r="E130" s="53" t="s">
        <v>6</v>
      </c>
      <c r="F130" s="34"/>
      <c r="H130" s="31"/>
      <c r="I130" s="32"/>
      <c r="J130" s="31"/>
      <c r="K130" s="31"/>
    </row>
    <row r="131" spans="3:11" x14ac:dyDescent="0.15">
      <c r="C131" s="33">
        <f t="shared" si="3"/>
        <v>43</v>
      </c>
      <c r="D131" s="2" t="s">
        <v>12</v>
      </c>
      <c r="E131" s="52" t="s">
        <v>6</v>
      </c>
      <c r="F131" s="34"/>
      <c r="H131" s="31"/>
      <c r="I131" s="32"/>
      <c r="J131" s="31"/>
      <c r="K131" s="31"/>
    </row>
    <row r="132" spans="3:11" x14ac:dyDescent="0.15">
      <c r="C132" s="33">
        <f t="shared" si="3"/>
        <v>44</v>
      </c>
      <c r="D132" s="2" t="s">
        <v>13</v>
      </c>
      <c r="E132" s="52" t="s">
        <v>6</v>
      </c>
      <c r="F132" s="34"/>
      <c r="H132" s="31"/>
      <c r="I132" s="32"/>
      <c r="J132" s="31"/>
      <c r="K132" s="31"/>
    </row>
    <row r="133" spans="3:11" x14ac:dyDescent="0.15">
      <c r="C133" s="33">
        <f t="shared" si="3"/>
        <v>45</v>
      </c>
      <c r="D133" s="2" t="s">
        <v>14</v>
      </c>
      <c r="E133" s="52" t="s">
        <v>6</v>
      </c>
      <c r="F133" s="34"/>
      <c r="H133" s="31"/>
      <c r="I133" s="32"/>
      <c r="J133" s="31"/>
      <c r="K133" s="31"/>
    </row>
    <row r="134" spans="3:11" x14ac:dyDescent="0.15">
      <c r="C134" s="33">
        <f t="shared" si="3"/>
        <v>46</v>
      </c>
      <c r="D134" s="2" t="s">
        <v>15</v>
      </c>
      <c r="E134" s="52" t="s">
        <v>6</v>
      </c>
      <c r="F134" s="34"/>
      <c r="H134" s="31"/>
      <c r="I134" s="32"/>
      <c r="J134" s="31"/>
      <c r="K134" s="31"/>
    </row>
    <row r="135" spans="3:11" x14ac:dyDescent="0.15">
      <c r="C135" s="33">
        <f t="shared" si="3"/>
        <v>47</v>
      </c>
      <c r="D135" s="2" t="s">
        <v>16</v>
      </c>
      <c r="E135" s="52" t="s">
        <v>6</v>
      </c>
      <c r="F135" s="34"/>
      <c r="H135" s="31"/>
      <c r="I135" s="32"/>
      <c r="J135" s="31"/>
      <c r="K135" s="31"/>
    </row>
    <row r="136" spans="3:11" x14ac:dyDescent="0.15">
      <c r="C136" s="33">
        <f t="shared" si="3"/>
        <v>48</v>
      </c>
      <c r="D136" s="2" t="s">
        <v>17</v>
      </c>
      <c r="E136" s="52" t="s">
        <v>6</v>
      </c>
      <c r="F136" s="34"/>
      <c r="H136" s="31"/>
      <c r="I136" s="32"/>
      <c r="J136" s="31"/>
      <c r="K136" s="31"/>
    </row>
    <row r="137" spans="3:11" x14ac:dyDescent="0.15">
      <c r="C137" s="33">
        <f t="shared" si="3"/>
        <v>49</v>
      </c>
      <c r="D137" s="2" t="s">
        <v>112</v>
      </c>
      <c r="E137" s="52" t="s">
        <v>7</v>
      </c>
      <c r="F137" s="34"/>
      <c r="H137" s="31"/>
      <c r="I137" s="32"/>
      <c r="J137" s="31"/>
      <c r="K137" s="31"/>
    </row>
    <row r="138" spans="3:11" x14ac:dyDescent="0.15">
      <c r="C138" s="33">
        <f t="shared" si="3"/>
        <v>50</v>
      </c>
      <c r="D138" s="2" t="s">
        <v>113</v>
      </c>
      <c r="E138" s="52" t="s">
        <v>5</v>
      </c>
      <c r="F138" s="34"/>
      <c r="H138" s="31"/>
      <c r="I138" s="32"/>
      <c r="J138" s="31"/>
      <c r="K138" s="31"/>
    </row>
    <row r="139" spans="3:11" x14ac:dyDescent="0.15">
      <c r="C139" s="33">
        <f t="shared" si="3"/>
        <v>51</v>
      </c>
      <c r="D139" s="2" t="s">
        <v>26</v>
      </c>
      <c r="E139" s="52" t="s">
        <v>5</v>
      </c>
      <c r="F139" s="34"/>
      <c r="H139" s="31"/>
      <c r="I139" s="32"/>
      <c r="J139" s="31"/>
      <c r="K139" s="31"/>
    </row>
    <row r="140" spans="3:11" x14ac:dyDescent="0.15">
      <c r="C140" s="33">
        <f t="shared" si="3"/>
        <v>52</v>
      </c>
      <c r="D140" s="2" t="s">
        <v>27</v>
      </c>
      <c r="E140" s="53" t="s">
        <v>5</v>
      </c>
      <c r="F140" s="34"/>
      <c r="H140" s="31"/>
      <c r="I140" s="32"/>
      <c r="J140" s="31"/>
      <c r="K140" s="31"/>
    </row>
    <row r="141" spans="3:11" x14ac:dyDescent="0.15">
      <c r="C141" s="33">
        <f t="shared" si="3"/>
        <v>53</v>
      </c>
      <c r="D141" s="2" t="s">
        <v>114</v>
      </c>
      <c r="E141" s="52" t="s">
        <v>115</v>
      </c>
      <c r="F141" s="34"/>
      <c r="H141" s="31"/>
      <c r="I141" s="32"/>
      <c r="J141" s="31"/>
      <c r="K141" s="31"/>
    </row>
    <row r="142" spans="3:11" x14ac:dyDescent="0.15">
      <c r="C142" s="33">
        <f t="shared" si="3"/>
        <v>54</v>
      </c>
      <c r="D142" s="2" t="s">
        <v>116</v>
      </c>
      <c r="E142" s="53" t="s">
        <v>5</v>
      </c>
      <c r="F142" s="34"/>
      <c r="H142" s="31"/>
      <c r="I142" s="32"/>
      <c r="J142" s="31"/>
      <c r="K142" s="31"/>
    </row>
    <row r="143" spans="3:11" x14ac:dyDescent="0.15">
      <c r="C143" s="33">
        <f t="shared" si="3"/>
        <v>55</v>
      </c>
      <c r="D143" s="2" t="s">
        <v>117</v>
      </c>
      <c r="E143" s="53" t="s">
        <v>118</v>
      </c>
      <c r="F143" s="34"/>
      <c r="H143" s="31"/>
      <c r="I143" s="32"/>
      <c r="J143" s="31"/>
      <c r="K143" s="31"/>
    </row>
    <row r="144" spans="3:11" x14ac:dyDescent="0.15">
      <c r="C144" s="33">
        <f t="shared" si="3"/>
        <v>56</v>
      </c>
      <c r="D144" s="2" t="s">
        <v>28</v>
      </c>
      <c r="E144" s="53" t="s">
        <v>7</v>
      </c>
      <c r="F144" s="34"/>
      <c r="H144" s="31"/>
      <c r="I144" s="32"/>
      <c r="J144" s="31"/>
      <c r="K144" s="31"/>
    </row>
    <row r="145" spans="3:11" x14ac:dyDescent="0.15">
      <c r="C145" s="33">
        <f t="shared" si="3"/>
        <v>57</v>
      </c>
      <c r="D145" s="2" t="s">
        <v>29</v>
      </c>
      <c r="E145" s="53" t="s">
        <v>7</v>
      </c>
      <c r="F145" s="34"/>
      <c r="H145" s="31"/>
      <c r="I145" s="32"/>
      <c r="J145" s="31"/>
      <c r="K145" s="31"/>
    </row>
    <row r="146" spans="3:11" x14ac:dyDescent="0.15">
      <c r="C146" s="33">
        <f t="shared" si="3"/>
        <v>58</v>
      </c>
      <c r="D146" s="2" t="s">
        <v>139</v>
      </c>
      <c r="E146" s="53" t="s">
        <v>7</v>
      </c>
      <c r="F146" s="34"/>
      <c r="H146" s="31"/>
      <c r="I146" s="32"/>
      <c r="J146" s="31"/>
      <c r="K146" s="31"/>
    </row>
    <row r="147" spans="3:11" x14ac:dyDescent="0.15">
      <c r="C147" s="33">
        <f t="shared" si="3"/>
        <v>59</v>
      </c>
      <c r="D147" s="2" t="s">
        <v>140</v>
      </c>
      <c r="E147" s="53" t="s">
        <v>7</v>
      </c>
      <c r="F147" s="34"/>
      <c r="H147" s="31"/>
      <c r="I147" s="32"/>
      <c r="J147" s="31"/>
      <c r="K147" s="31"/>
    </row>
    <row r="148" spans="3:11" x14ac:dyDescent="0.15">
      <c r="C148" s="33">
        <f t="shared" si="3"/>
        <v>60</v>
      </c>
      <c r="D148" s="40" t="s">
        <v>119</v>
      </c>
      <c r="E148" s="53" t="s">
        <v>7</v>
      </c>
      <c r="F148" s="34"/>
      <c r="H148" s="31"/>
      <c r="I148" s="32"/>
      <c r="J148" s="31"/>
      <c r="K148" s="31"/>
    </row>
    <row r="149" spans="3:11" x14ac:dyDescent="0.15">
      <c r="C149" s="33">
        <f t="shared" si="3"/>
        <v>61</v>
      </c>
      <c r="D149" s="40" t="s">
        <v>33</v>
      </c>
      <c r="E149" s="53" t="s">
        <v>7</v>
      </c>
      <c r="F149" s="34"/>
      <c r="H149" s="31"/>
      <c r="I149" s="32"/>
      <c r="J149" s="31"/>
      <c r="K149" s="31"/>
    </row>
    <row r="150" spans="3:11" x14ac:dyDescent="0.15">
      <c r="C150" s="33">
        <f t="shared" si="3"/>
        <v>62</v>
      </c>
      <c r="D150" s="40" t="s">
        <v>34</v>
      </c>
      <c r="E150" s="53" t="s">
        <v>7</v>
      </c>
      <c r="F150" s="34"/>
      <c r="H150" s="31"/>
      <c r="I150" s="32"/>
      <c r="J150" s="31"/>
      <c r="K150" s="31"/>
    </row>
    <row r="151" spans="3:11" x14ac:dyDescent="0.15">
      <c r="C151" s="33">
        <f t="shared" si="3"/>
        <v>63</v>
      </c>
      <c r="D151" s="40" t="s">
        <v>35</v>
      </c>
      <c r="E151" s="53" t="s">
        <v>7</v>
      </c>
      <c r="F151" s="34"/>
      <c r="H151" s="31"/>
      <c r="I151" s="32"/>
      <c r="J151" s="31"/>
      <c r="K151" s="31"/>
    </row>
    <row r="152" spans="3:11" x14ac:dyDescent="0.15">
      <c r="C152" s="33">
        <f t="shared" si="3"/>
        <v>64</v>
      </c>
      <c r="D152" s="2" t="s">
        <v>36</v>
      </c>
      <c r="E152" s="53" t="s">
        <v>7</v>
      </c>
      <c r="F152" s="34"/>
      <c r="H152" s="31"/>
      <c r="I152" s="32"/>
      <c r="J152" s="31"/>
      <c r="K152" s="31"/>
    </row>
    <row r="153" spans="3:11" x14ac:dyDescent="0.15">
      <c r="C153" s="33">
        <f>C152+1</f>
        <v>65</v>
      </c>
      <c r="D153" s="2" t="s">
        <v>78</v>
      </c>
      <c r="E153" s="53" t="s">
        <v>7</v>
      </c>
      <c r="F153" s="34"/>
      <c r="H153" s="31"/>
      <c r="I153" s="32"/>
      <c r="J153" s="31"/>
      <c r="K153" s="31"/>
    </row>
    <row r="154" spans="3:11" x14ac:dyDescent="0.15">
      <c r="C154" s="33">
        <f t="shared" si="3"/>
        <v>66</v>
      </c>
      <c r="D154" s="2" t="s">
        <v>121</v>
      </c>
      <c r="E154" s="52" t="s">
        <v>7</v>
      </c>
      <c r="F154" s="34"/>
      <c r="H154" s="31"/>
      <c r="I154" s="32"/>
      <c r="J154" s="31"/>
      <c r="K154" s="31"/>
    </row>
    <row r="155" spans="3:11" x14ac:dyDescent="0.15">
      <c r="C155" s="33">
        <f t="shared" si="3"/>
        <v>67</v>
      </c>
      <c r="D155" s="2" t="s">
        <v>122</v>
      </c>
      <c r="E155" s="52" t="s">
        <v>7</v>
      </c>
      <c r="F155" s="34"/>
      <c r="H155" s="31"/>
      <c r="I155" s="32"/>
      <c r="J155" s="31"/>
      <c r="K155" s="31"/>
    </row>
    <row r="156" spans="3:11" x14ac:dyDescent="0.15">
      <c r="C156" s="33">
        <f t="shared" si="3"/>
        <v>68</v>
      </c>
      <c r="D156" s="2" t="s">
        <v>123</v>
      </c>
      <c r="E156" s="52" t="s">
        <v>9</v>
      </c>
      <c r="F156" s="34"/>
      <c r="H156" s="31"/>
      <c r="I156" s="32"/>
      <c r="J156" s="31"/>
      <c r="K156" s="31"/>
    </row>
    <row r="157" spans="3:11" x14ac:dyDescent="0.15">
      <c r="C157" s="33">
        <f t="shared" si="3"/>
        <v>69</v>
      </c>
      <c r="D157" s="2" t="s">
        <v>40</v>
      </c>
      <c r="E157" s="52" t="s">
        <v>5</v>
      </c>
      <c r="F157" s="34"/>
      <c r="H157" s="31"/>
      <c r="I157" s="32"/>
      <c r="J157" s="31"/>
      <c r="K157" s="31"/>
    </row>
    <row r="158" spans="3:11" x14ac:dyDescent="0.15">
      <c r="C158" s="33">
        <f t="shared" si="3"/>
        <v>70</v>
      </c>
      <c r="D158" s="2" t="s">
        <v>41</v>
      </c>
      <c r="E158" s="52" t="s">
        <v>5</v>
      </c>
      <c r="F158" s="34"/>
      <c r="H158" s="31"/>
      <c r="I158" s="32"/>
      <c r="J158" s="31"/>
      <c r="K158" s="31"/>
    </row>
    <row r="159" spans="3:11" x14ac:dyDescent="0.15">
      <c r="C159" s="33">
        <f t="shared" si="3"/>
        <v>71</v>
      </c>
      <c r="D159" s="2" t="s">
        <v>18</v>
      </c>
      <c r="E159" s="53" t="s">
        <v>25</v>
      </c>
      <c r="F159" s="34"/>
      <c r="H159" s="31"/>
      <c r="I159" s="32"/>
      <c r="J159" s="31"/>
      <c r="K159" s="31"/>
    </row>
    <row r="160" spans="3:11" x14ac:dyDescent="0.15">
      <c r="C160" s="33">
        <f t="shared" si="3"/>
        <v>72</v>
      </c>
      <c r="D160" s="2" t="s">
        <v>19</v>
      </c>
      <c r="E160" s="53" t="s">
        <v>25</v>
      </c>
      <c r="F160" s="34"/>
      <c r="H160" s="31"/>
      <c r="I160" s="32"/>
      <c r="J160" s="31"/>
      <c r="K160" s="31"/>
    </row>
    <row r="161" spans="3:11" x14ac:dyDescent="0.15">
      <c r="C161" s="33">
        <f t="shared" si="3"/>
        <v>73</v>
      </c>
      <c r="D161" s="2" t="s">
        <v>20</v>
      </c>
      <c r="E161" s="53" t="s">
        <v>25</v>
      </c>
      <c r="F161" s="34"/>
      <c r="H161" s="31"/>
      <c r="I161" s="32"/>
      <c r="J161" s="31"/>
      <c r="K161" s="31"/>
    </row>
    <row r="162" spans="3:11" x14ac:dyDescent="0.15">
      <c r="C162" s="33">
        <f t="shared" si="3"/>
        <v>74</v>
      </c>
      <c r="D162" s="2" t="s">
        <v>21</v>
      </c>
      <c r="E162" s="53" t="s">
        <v>25</v>
      </c>
      <c r="F162" s="34"/>
      <c r="H162" s="31"/>
      <c r="I162" s="32"/>
      <c r="J162" s="31"/>
      <c r="K162" s="31"/>
    </row>
    <row r="163" spans="3:11" x14ac:dyDescent="0.15">
      <c r="C163" s="33">
        <f t="shared" si="3"/>
        <v>75</v>
      </c>
      <c r="D163" s="2" t="s">
        <v>22</v>
      </c>
      <c r="E163" s="53" t="s">
        <v>25</v>
      </c>
      <c r="F163" s="34"/>
      <c r="H163" s="31"/>
      <c r="I163" s="32"/>
      <c r="J163" s="31"/>
      <c r="K163" s="31"/>
    </row>
    <row r="164" spans="3:11" x14ac:dyDescent="0.15">
      <c r="C164" s="33">
        <f t="shared" si="3"/>
        <v>76</v>
      </c>
      <c r="D164" s="2" t="s">
        <v>23</v>
      </c>
      <c r="E164" s="53" t="s">
        <v>25</v>
      </c>
      <c r="F164" s="34"/>
      <c r="H164" s="31"/>
      <c r="I164" s="32"/>
      <c r="J164" s="31"/>
      <c r="K164" s="31"/>
    </row>
    <row r="165" spans="3:11" x14ac:dyDescent="0.15">
      <c r="C165" s="33">
        <f t="shared" si="3"/>
        <v>77</v>
      </c>
      <c r="D165" s="2" t="s">
        <v>24</v>
      </c>
      <c r="E165" s="53" t="s">
        <v>25</v>
      </c>
      <c r="F165" s="34"/>
      <c r="H165" s="31"/>
      <c r="I165" s="32"/>
      <c r="J165" s="31"/>
      <c r="K165" s="31"/>
    </row>
    <row r="166" spans="3:11" x14ac:dyDescent="0.15">
      <c r="C166" s="33">
        <f t="shared" si="3"/>
        <v>78</v>
      </c>
      <c r="D166" s="2" t="s">
        <v>141</v>
      </c>
      <c r="E166" s="53" t="s">
        <v>25</v>
      </c>
      <c r="F166" s="34"/>
      <c r="H166" s="31"/>
      <c r="I166" s="32"/>
      <c r="J166" s="31"/>
      <c r="K166" s="31"/>
    </row>
    <row r="167" spans="3:11" x14ac:dyDescent="0.15">
      <c r="C167" s="33">
        <f t="shared" si="3"/>
        <v>79</v>
      </c>
      <c r="D167" s="2" t="s">
        <v>142</v>
      </c>
      <c r="E167" s="53" t="s">
        <v>25</v>
      </c>
      <c r="F167" s="34"/>
      <c r="H167" s="31"/>
      <c r="I167" s="32"/>
      <c r="J167" s="31"/>
      <c r="K167" s="31"/>
    </row>
    <row r="168" spans="3:11" x14ac:dyDescent="0.15">
      <c r="C168" s="33">
        <f t="shared" si="3"/>
        <v>80</v>
      </c>
      <c r="D168" s="2" t="s">
        <v>143</v>
      </c>
      <c r="E168" s="53" t="s">
        <v>25</v>
      </c>
      <c r="F168" s="34"/>
      <c r="H168" s="31"/>
      <c r="I168" s="32"/>
      <c r="J168" s="31"/>
      <c r="K168" s="31"/>
    </row>
    <row r="169" spans="3:11" x14ac:dyDescent="0.15">
      <c r="C169" s="33">
        <f t="shared" si="3"/>
        <v>81</v>
      </c>
      <c r="D169" s="2" t="s">
        <v>144</v>
      </c>
      <c r="E169" s="53" t="s">
        <v>25</v>
      </c>
      <c r="F169" s="34"/>
      <c r="H169" s="31"/>
      <c r="I169" s="32"/>
      <c r="J169" s="31"/>
      <c r="K169" s="31"/>
    </row>
    <row r="170" spans="3:11" x14ac:dyDescent="0.15">
      <c r="C170" s="33">
        <f t="shared" si="3"/>
        <v>82</v>
      </c>
      <c r="D170" s="2" t="s">
        <v>145</v>
      </c>
      <c r="E170" s="53" t="s">
        <v>25</v>
      </c>
      <c r="F170" s="34"/>
      <c r="H170" s="31"/>
      <c r="I170" s="32"/>
      <c r="J170" s="31"/>
      <c r="K170" s="31"/>
    </row>
    <row r="171" spans="3:11" x14ac:dyDescent="0.15">
      <c r="C171" s="33">
        <f t="shared" ref="C171:C180" si="4">C170+1</f>
        <v>83</v>
      </c>
      <c r="D171" s="2" t="s">
        <v>149</v>
      </c>
      <c r="E171" s="53" t="s">
        <v>25</v>
      </c>
      <c r="F171" s="34"/>
      <c r="H171" s="31"/>
      <c r="I171" s="32"/>
      <c r="J171" s="31"/>
      <c r="K171" s="31"/>
    </row>
    <row r="172" spans="3:11" x14ac:dyDescent="0.15">
      <c r="C172" s="33">
        <f t="shared" si="4"/>
        <v>84</v>
      </c>
      <c r="D172" s="2" t="s">
        <v>150</v>
      </c>
      <c r="E172" s="53" t="s">
        <v>25</v>
      </c>
      <c r="F172" s="34"/>
      <c r="H172" s="31"/>
      <c r="I172" s="32"/>
      <c r="J172" s="31"/>
      <c r="K172" s="31"/>
    </row>
    <row r="173" spans="3:11" x14ac:dyDescent="0.15">
      <c r="C173" s="33">
        <f t="shared" si="4"/>
        <v>85</v>
      </c>
      <c r="D173" s="2" t="s">
        <v>151</v>
      </c>
      <c r="E173" s="53" t="s">
        <v>25</v>
      </c>
      <c r="F173" s="34"/>
      <c r="H173" s="31"/>
      <c r="I173" s="32"/>
      <c r="J173" s="31"/>
      <c r="K173" s="31"/>
    </row>
    <row r="174" spans="3:11" x14ac:dyDescent="0.15">
      <c r="C174" s="33">
        <f t="shared" si="4"/>
        <v>86</v>
      </c>
      <c r="D174" s="2" t="s">
        <v>152</v>
      </c>
      <c r="E174" s="53" t="s">
        <v>25</v>
      </c>
      <c r="F174" s="34"/>
      <c r="H174" s="31"/>
      <c r="I174" s="32"/>
      <c r="J174" s="31"/>
      <c r="K174" s="31"/>
    </row>
    <row r="175" spans="3:11" x14ac:dyDescent="0.15">
      <c r="C175" s="33">
        <f t="shared" si="4"/>
        <v>87</v>
      </c>
      <c r="D175" s="2" t="s">
        <v>135</v>
      </c>
      <c r="E175" s="52" t="s">
        <v>138</v>
      </c>
      <c r="F175" s="34"/>
      <c r="H175" s="31"/>
      <c r="I175" s="32"/>
      <c r="J175" s="31"/>
      <c r="K175" s="31"/>
    </row>
    <row r="176" spans="3:11" x14ac:dyDescent="0.15">
      <c r="C176" s="33">
        <f t="shared" si="4"/>
        <v>88</v>
      </c>
      <c r="D176" s="2" t="s">
        <v>153</v>
      </c>
      <c r="E176" s="52" t="s">
        <v>5</v>
      </c>
      <c r="F176" s="34"/>
      <c r="H176" s="31"/>
      <c r="I176" s="32"/>
      <c r="J176" s="31"/>
      <c r="K176" s="31"/>
    </row>
    <row r="177" spans="3:11" x14ac:dyDescent="0.15">
      <c r="C177" s="33">
        <f t="shared" si="4"/>
        <v>89</v>
      </c>
      <c r="D177" s="2" t="s">
        <v>136</v>
      </c>
      <c r="E177" s="52" t="s">
        <v>5</v>
      </c>
      <c r="F177" s="34"/>
      <c r="H177" s="31"/>
      <c r="I177" s="32"/>
      <c r="J177" s="31"/>
      <c r="K177" s="31"/>
    </row>
    <row r="178" spans="3:11" x14ac:dyDescent="0.15">
      <c r="C178" s="33">
        <f t="shared" si="4"/>
        <v>90</v>
      </c>
      <c r="D178" s="2" t="s">
        <v>154</v>
      </c>
      <c r="E178" s="52" t="s">
        <v>5</v>
      </c>
      <c r="F178" s="34"/>
      <c r="H178" s="31"/>
      <c r="I178" s="32"/>
      <c r="J178" s="31"/>
      <c r="K178" s="31"/>
    </row>
    <row r="179" spans="3:11" x14ac:dyDescent="0.15">
      <c r="C179" s="33">
        <f t="shared" si="4"/>
        <v>91</v>
      </c>
      <c r="D179" s="2" t="s">
        <v>155</v>
      </c>
      <c r="E179" s="52" t="s">
        <v>5</v>
      </c>
      <c r="F179" s="34"/>
      <c r="H179" s="31"/>
      <c r="I179" s="32"/>
      <c r="J179" s="31"/>
      <c r="K179" s="31"/>
    </row>
    <row r="180" spans="3:11" x14ac:dyDescent="0.15">
      <c r="C180" s="33">
        <f t="shared" si="4"/>
        <v>92</v>
      </c>
      <c r="D180" s="2" t="s">
        <v>137</v>
      </c>
      <c r="E180" s="52" t="s">
        <v>5</v>
      </c>
      <c r="F180" s="34"/>
      <c r="H180" s="31"/>
      <c r="I180" s="32"/>
      <c r="J180" s="31"/>
      <c r="K180" s="31"/>
    </row>
    <row r="181" spans="3:11" x14ac:dyDescent="0.15">
      <c r="C181" s="33">
        <f t="shared" ref="C176:C182" si="5">C180+1</f>
        <v>93</v>
      </c>
      <c r="D181" s="2"/>
      <c r="E181" s="52"/>
      <c r="F181" s="34"/>
      <c r="H181" s="31"/>
      <c r="I181" s="32"/>
      <c r="J181" s="31"/>
      <c r="K181" s="31"/>
    </row>
    <row r="182" spans="3:11" x14ac:dyDescent="0.15">
      <c r="C182" s="33">
        <f t="shared" si="5"/>
        <v>94</v>
      </c>
      <c r="D182" s="2"/>
      <c r="E182" s="52"/>
      <c r="F182" s="34"/>
      <c r="H182" s="31"/>
      <c r="I182" s="32"/>
      <c r="J182" s="31"/>
      <c r="K182" s="31"/>
    </row>
    <row r="183" spans="3:11" x14ac:dyDescent="0.15">
      <c r="C183" s="33">
        <f t="shared" ref="C183:C230" si="6">C182+1</f>
        <v>95</v>
      </c>
      <c r="D183" s="2"/>
      <c r="E183" s="52"/>
      <c r="F183" s="34"/>
      <c r="H183" s="31"/>
      <c r="I183" s="32"/>
      <c r="J183" s="31"/>
      <c r="K183" s="31"/>
    </row>
    <row r="184" spans="3:11" x14ac:dyDescent="0.15">
      <c r="C184" s="33">
        <f t="shared" si="6"/>
        <v>96</v>
      </c>
      <c r="D184" s="2"/>
      <c r="E184" s="53"/>
      <c r="F184" s="34"/>
      <c r="H184" s="31"/>
      <c r="I184" s="32"/>
      <c r="J184" s="31"/>
      <c r="K184" s="31"/>
    </row>
    <row r="185" spans="3:11" x14ac:dyDescent="0.15">
      <c r="C185" s="33">
        <f t="shared" si="6"/>
        <v>97</v>
      </c>
      <c r="D185" s="2"/>
      <c r="E185" s="53"/>
      <c r="F185" s="34"/>
      <c r="H185" s="31"/>
      <c r="I185" s="32"/>
      <c r="J185" s="31"/>
      <c r="K185" s="31"/>
    </row>
    <row r="186" spans="3:11" x14ac:dyDescent="0.15">
      <c r="C186" s="33">
        <f t="shared" si="6"/>
        <v>98</v>
      </c>
      <c r="D186" s="2"/>
      <c r="E186" s="53"/>
      <c r="F186" s="34"/>
      <c r="H186" s="31"/>
      <c r="I186" s="32"/>
      <c r="J186" s="31"/>
      <c r="K186" s="31"/>
    </row>
    <row r="187" spans="3:11" x14ac:dyDescent="0.15">
      <c r="C187" s="33">
        <f t="shared" si="6"/>
        <v>99</v>
      </c>
      <c r="D187" s="2"/>
      <c r="E187" s="53"/>
      <c r="F187" s="34"/>
      <c r="H187" s="31"/>
      <c r="I187" s="32"/>
      <c r="J187" s="31"/>
      <c r="K187" s="31"/>
    </row>
    <row r="188" spans="3:11" x14ac:dyDescent="0.15">
      <c r="C188" s="33">
        <f t="shared" si="6"/>
        <v>100</v>
      </c>
      <c r="D188" s="2"/>
      <c r="E188" s="53"/>
      <c r="F188" s="34"/>
      <c r="H188" s="31"/>
      <c r="I188" s="32"/>
      <c r="J188" s="31"/>
      <c r="K188" s="31"/>
    </row>
    <row r="189" spans="3:11" x14ac:dyDescent="0.15">
      <c r="C189" s="33">
        <f t="shared" si="6"/>
        <v>101</v>
      </c>
      <c r="D189" s="2"/>
      <c r="E189" s="53"/>
      <c r="F189" s="34"/>
      <c r="H189" s="31"/>
      <c r="I189" s="32"/>
      <c r="J189" s="31"/>
      <c r="K189" s="31"/>
    </row>
    <row r="190" spans="3:11" x14ac:dyDescent="0.15">
      <c r="C190" s="33">
        <f t="shared" si="6"/>
        <v>102</v>
      </c>
      <c r="D190" s="2"/>
      <c r="E190" s="53"/>
      <c r="F190" s="34"/>
      <c r="H190" s="31"/>
      <c r="I190" s="32"/>
      <c r="J190" s="31"/>
      <c r="K190" s="31"/>
    </row>
    <row r="191" spans="3:11" x14ac:dyDescent="0.15">
      <c r="C191" s="33">
        <f t="shared" si="6"/>
        <v>103</v>
      </c>
      <c r="D191" s="2"/>
      <c r="E191" s="53"/>
      <c r="F191" s="34"/>
      <c r="H191" s="31"/>
      <c r="I191" s="32"/>
      <c r="J191" s="31"/>
      <c r="K191" s="31"/>
    </row>
    <row r="192" spans="3:11" x14ac:dyDescent="0.15">
      <c r="C192" s="33">
        <f t="shared" si="6"/>
        <v>104</v>
      </c>
      <c r="D192" s="2"/>
      <c r="E192" s="53"/>
      <c r="F192" s="34"/>
      <c r="H192" s="31"/>
      <c r="I192" s="32"/>
      <c r="J192" s="31"/>
      <c r="K192" s="31"/>
    </row>
    <row r="193" spans="3:13" x14ac:dyDescent="0.15">
      <c r="C193" s="33">
        <f t="shared" si="6"/>
        <v>105</v>
      </c>
      <c r="D193" s="2"/>
      <c r="E193" s="53"/>
      <c r="F193" s="34"/>
      <c r="H193" s="31"/>
      <c r="I193" s="32"/>
      <c r="J193" s="31"/>
      <c r="K193" s="31"/>
    </row>
    <row r="194" spans="3:13" x14ac:dyDescent="0.15">
      <c r="C194" s="33">
        <f t="shared" si="6"/>
        <v>106</v>
      </c>
      <c r="D194" s="2"/>
      <c r="E194" s="53"/>
      <c r="F194" s="34"/>
      <c r="H194" s="31"/>
      <c r="I194" s="32"/>
      <c r="J194" s="31"/>
      <c r="K194" s="31"/>
    </row>
    <row r="195" spans="3:13" x14ac:dyDescent="0.15">
      <c r="C195" s="33">
        <f t="shared" si="6"/>
        <v>107</v>
      </c>
      <c r="D195" s="2"/>
      <c r="E195" s="53"/>
      <c r="F195" s="34"/>
      <c r="H195" s="31"/>
      <c r="I195" s="32"/>
      <c r="J195" s="31"/>
      <c r="K195" s="31"/>
    </row>
    <row r="196" spans="3:13" x14ac:dyDescent="0.15">
      <c r="C196" s="33">
        <f t="shared" si="6"/>
        <v>108</v>
      </c>
      <c r="D196" s="2"/>
      <c r="E196" s="54"/>
      <c r="F196" s="34"/>
      <c r="H196" s="31"/>
      <c r="I196" s="32"/>
      <c r="J196" s="31"/>
      <c r="K196" s="31"/>
    </row>
    <row r="197" spans="3:13" x14ac:dyDescent="0.15">
      <c r="C197" s="33">
        <f t="shared" si="6"/>
        <v>109</v>
      </c>
      <c r="D197" s="2"/>
      <c r="E197" s="53"/>
      <c r="F197" s="34"/>
      <c r="H197" s="31"/>
      <c r="I197" s="32"/>
      <c r="J197" s="31"/>
      <c r="K197" s="31"/>
    </row>
    <row r="198" spans="3:13" x14ac:dyDescent="0.15">
      <c r="C198" s="33">
        <f t="shared" si="6"/>
        <v>110</v>
      </c>
      <c r="D198" s="2"/>
      <c r="E198" s="54"/>
      <c r="F198" s="34"/>
      <c r="H198" s="31"/>
      <c r="I198" s="32"/>
      <c r="J198" s="31"/>
      <c r="K198" s="31"/>
    </row>
    <row r="199" spans="3:13" x14ac:dyDescent="0.15">
      <c r="C199" s="33">
        <f t="shared" si="6"/>
        <v>111</v>
      </c>
      <c r="D199" s="2"/>
      <c r="E199" s="54"/>
      <c r="F199" s="36"/>
      <c r="H199" s="31"/>
      <c r="I199" s="32"/>
      <c r="J199" s="31"/>
      <c r="K199" s="31"/>
    </row>
    <row r="200" spans="3:13" x14ac:dyDescent="0.15">
      <c r="C200" s="33">
        <f t="shared" si="6"/>
        <v>112</v>
      </c>
      <c r="D200" s="2"/>
      <c r="E200" s="54"/>
      <c r="F200" s="36"/>
      <c r="H200" s="31"/>
      <c r="I200" s="32"/>
      <c r="J200" s="31"/>
      <c r="K200" s="31"/>
      <c r="L200" s="37"/>
      <c r="M200" s="38"/>
    </row>
    <row r="201" spans="3:13" x14ac:dyDescent="0.15">
      <c r="C201" s="33">
        <f t="shared" si="6"/>
        <v>113</v>
      </c>
      <c r="D201" s="2"/>
      <c r="E201" s="54"/>
      <c r="F201" s="36"/>
      <c r="H201" s="31"/>
      <c r="I201" s="32"/>
      <c r="J201" s="31"/>
      <c r="K201" s="31"/>
    </row>
    <row r="202" spans="3:13" x14ac:dyDescent="0.15">
      <c r="C202" s="33">
        <f t="shared" si="6"/>
        <v>114</v>
      </c>
      <c r="D202" s="2"/>
      <c r="E202" s="54"/>
      <c r="F202" s="36"/>
      <c r="H202" s="31"/>
      <c r="I202" s="32"/>
      <c r="J202" s="31"/>
      <c r="K202" s="31"/>
    </row>
    <row r="203" spans="3:13" x14ac:dyDescent="0.15">
      <c r="C203" s="33">
        <f t="shared" si="6"/>
        <v>115</v>
      </c>
      <c r="D203" s="2"/>
      <c r="E203" s="54"/>
      <c r="F203" s="36"/>
      <c r="H203" s="31"/>
      <c r="I203" s="32"/>
      <c r="J203" s="31"/>
      <c r="K203" s="31"/>
    </row>
    <row r="204" spans="3:13" x14ac:dyDescent="0.15">
      <c r="C204" s="33">
        <f t="shared" si="6"/>
        <v>116</v>
      </c>
      <c r="D204" s="2"/>
      <c r="E204" s="54"/>
      <c r="F204" s="36"/>
      <c r="H204" s="31"/>
      <c r="I204" s="32"/>
      <c r="J204" s="31"/>
      <c r="K204" s="31"/>
    </row>
    <row r="205" spans="3:13" x14ac:dyDescent="0.15">
      <c r="C205" s="33">
        <f t="shared" si="6"/>
        <v>117</v>
      </c>
      <c r="D205" s="2"/>
      <c r="E205" s="54"/>
      <c r="F205" s="36"/>
      <c r="H205" s="31"/>
      <c r="I205" s="32"/>
      <c r="J205" s="31"/>
      <c r="K205" s="31"/>
    </row>
    <row r="206" spans="3:13" x14ac:dyDescent="0.15">
      <c r="C206" s="33">
        <f t="shared" si="6"/>
        <v>118</v>
      </c>
      <c r="D206" s="2"/>
      <c r="E206" s="54"/>
      <c r="F206" s="36"/>
      <c r="H206" s="31"/>
      <c r="I206" s="32"/>
      <c r="J206" s="31"/>
      <c r="K206" s="31"/>
    </row>
    <row r="207" spans="3:13" x14ac:dyDescent="0.15">
      <c r="C207" s="33">
        <f t="shared" si="6"/>
        <v>119</v>
      </c>
      <c r="D207" s="2"/>
      <c r="E207" s="53"/>
      <c r="F207" s="36"/>
      <c r="H207" s="31"/>
      <c r="I207" s="32"/>
      <c r="J207" s="31"/>
      <c r="K207" s="31"/>
    </row>
    <row r="208" spans="3:13" x14ac:dyDescent="0.15">
      <c r="C208" s="33">
        <f t="shared" si="6"/>
        <v>120</v>
      </c>
      <c r="D208" s="2"/>
      <c r="E208" s="53"/>
      <c r="F208" s="36"/>
      <c r="H208" s="31"/>
      <c r="I208" s="32"/>
      <c r="J208" s="31"/>
      <c r="K208" s="31"/>
    </row>
    <row r="209" spans="3:11" x14ac:dyDescent="0.15">
      <c r="C209" s="33">
        <f t="shared" si="6"/>
        <v>121</v>
      </c>
      <c r="D209" s="2"/>
      <c r="E209" s="53"/>
      <c r="F209" s="36"/>
      <c r="H209" s="31"/>
      <c r="I209" s="32"/>
      <c r="J209" s="31"/>
      <c r="K209" s="31"/>
    </row>
    <row r="210" spans="3:11" x14ac:dyDescent="0.15">
      <c r="C210" s="33">
        <f t="shared" si="6"/>
        <v>122</v>
      </c>
      <c r="D210" s="2"/>
      <c r="E210" s="54"/>
      <c r="F210" s="34"/>
      <c r="H210" s="31"/>
      <c r="I210" s="32"/>
      <c r="J210" s="31"/>
      <c r="K210" s="31"/>
    </row>
    <row r="211" spans="3:11" x14ac:dyDescent="0.15">
      <c r="C211" s="33">
        <f t="shared" si="6"/>
        <v>123</v>
      </c>
      <c r="D211" s="2"/>
      <c r="E211" s="54"/>
      <c r="F211" s="36"/>
      <c r="H211" s="31"/>
      <c r="I211" s="32"/>
      <c r="J211" s="31"/>
      <c r="K211" s="31"/>
    </row>
    <row r="212" spans="3:11" x14ac:dyDescent="0.15">
      <c r="C212" s="33">
        <f t="shared" si="6"/>
        <v>124</v>
      </c>
      <c r="D212" s="2"/>
      <c r="E212" s="54"/>
      <c r="F212" s="34"/>
      <c r="H212" s="31"/>
      <c r="I212" s="32"/>
      <c r="J212" s="31"/>
      <c r="K212" s="31"/>
    </row>
    <row r="213" spans="3:11" x14ac:dyDescent="0.15">
      <c r="C213" s="33">
        <f t="shared" si="6"/>
        <v>125</v>
      </c>
      <c r="D213" s="2"/>
      <c r="E213" s="53"/>
      <c r="F213" s="34"/>
      <c r="H213" s="31"/>
      <c r="I213" s="32"/>
      <c r="J213" s="31"/>
      <c r="K213" s="31"/>
    </row>
    <row r="214" spans="3:11" x14ac:dyDescent="0.15">
      <c r="C214" s="33">
        <f t="shared" si="6"/>
        <v>126</v>
      </c>
      <c r="D214" s="2"/>
      <c r="E214" s="53"/>
      <c r="F214" s="39"/>
      <c r="H214" s="31"/>
      <c r="I214" s="32"/>
      <c r="J214" s="31"/>
      <c r="K214" s="31"/>
    </row>
    <row r="215" spans="3:11" x14ac:dyDescent="0.15">
      <c r="C215" s="33">
        <f t="shared" si="6"/>
        <v>127</v>
      </c>
      <c r="D215" s="2"/>
      <c r="E215" s="53"/>
      <c r="F215" s="34"/>
      <c r="H215" s="31"/>
      <c r="I215" s="32"/>
      <c r="J215" s="31"/>
      <c r="K215" s="31"/>
    </row>
    <row r="216" spans="3:11" x14ac:dyDescent="0.15">
      <c r="C216" s="33">
        <f t="shared" si="6"/>
        <v>128</v>
      </c>
      <c r="D216" s="2"/>
      <c r="E216" s="53"/>
      <c r="F216" s="39"/>
      <c r="H216" s="31"/>
      <c r="I216" s="32"/>
      <c r="J216" s="31"/>
      <c r="K216" s="31"/>
    </row>
    <row r="217" spans="3:11" x14ac:dyDescent="0.15">
      <c r="C217" s="33">
        <f t="shared" si="6"/>
        <v>129</v>
      </c>
      <c r="D217" s="2"/>
      <c r="E217" s="53"/>
      <c r="F217" s="39"/>
      <c r="H217" s="31"/>
      <c r="I217" s="32"/>
      <c r="J217" s="31"/>
      <c r="K217" s="31"/>
    </row>
    <row r="218" spans="3:11" x14ac:dyDescent="0.15">
      <c r="C218" s="33">
        <f t="shared" si="6"/>
        <v>130</v>
      </c>
      <c r="D218" s="2"/>
      <c r="E218" s="53"/>
      <c r="F218" s="39"/>
      <c r="H218" s="31"/>
      <c r="I218" s="32"/>
      <c r="J218" s="31"/>
      <c r="K218" s="31"/>
    </row>
    <row r="219" spans="3:11" x14ac:dyDescent="0.15">
      <c r="C219" s="33">
        <f t="shared" si="6"/>
        <v>131</v>
      </c>
      <c r="D219" s="2"/>
      <c r="E219" s="53"/>
      <c r="F219" s="34"/>
      <c r="H219" s="31"/>
      <c r="I219" s="32"/>
      <c r="J219" s="31"/>
      <c r="K219" s="31"/>
    </row>
    <row r="220" spans="3:11" x14ac:dyDescent="0.15">
      <c r="C220" s="33">
        <f t="shared" si="6"/>
        <v>132</v>
      </c>
      <c r="D220" s="50"/>
      <c r="E220" s="55"/>
      <c r="F220" s="34"/>
      <c r="H220" s="31"/>
      <c r="I220" s="32"/>
      <c r="J220" s="31"/>
      <c r="K220" s="31"/>
    </row>
    <row r="221" spans="3:11" x14ac:dyDescent="0.15">
      <c r="C221" s="33">
        <f t="shared" si="6"/>
        <v>133</v>
      </c>
      <c r="F221" s="34"/>
      <c r="H221" s="31"/>
      <c r="I221" s="32"/>
      <c r="J221" s="31"/>
      <c r="K221" s="31"/>
    </row>
    <row r="222" spans="3:11" x14ac:dyDescent="0.15">
      <c r="C222" s="33">
        <f t="shared" si="6"/>
        <v>134</v>
      </c>
      <c r="F222" s="34"/>
      <c r="H222" s="31"/>
      <c r="I222" s="32"/>
      <c r="J222" s="31"/>
      <c r="K222" s="31"/>
    </row>
    <row r="223" spans="3:11" x14ac:dyDescent="0.15">
      <c r="C223" s="33">
        <f t="shared" si="6"/>
        <v>135</v>
      </c>
      <c r="F223" s="56"/>
      <c r="H223" s="31"/>
      <c r="I223" s="32"/>
      <c r="J223" s="31"/>
      <c r="K223" s="31"/>
    </row>
    <row r="224" spans="3:11" x14ac:dyDescent="0.15">
      <c r="C224" s="33">
        <f t="shared" si="6"/>
        <v>136</v>
      </c>
      <c r="H224" s="31"/>
      <c r="I224" s="32"/>
      <c r="J224" s="31"/>
      <c r="K224" s="31"/>
    </row>
    <row r="225" spans="3:11" x14ac:dyDescent="0.15">
      <c r="C225" s="33">
        <f t="shared" si="6"/>
        <v>137</v>
      </c>
      <c r="H225" s="31"/>
      <c r="I225" s="32"/>
      <c r="J225" s="31"/>
      <c r="K225" s="31"/>
    </row>
    <row r="226" spans="3:11" x14ac:dyDescent="0.15">
      <c r="C226" s="33">
        <f t="shared" si="6"/>
        <v>138</v>
      </c>
      <c r="H226" s="31"/>
      <c r="I226" s="32"/>
      <c r="J226" s="31"/>
      <c r="K226" s="31"/>
    </row>
    <row r="227" spans="3:11" x14ac:dyDescent="0.15">
      <c r="C227" s="33">
        <f t="shared" si="6"/>
        <v>139</v>
      </c>
      <c r="H227" s="31"/>
      <c r="I227" s="32"/>
      <c r="J227" s="31"/>
      <c r="K227" s="31"/>
    </row>
    <row r="228" spans="3:11" x14ac:dyDescent="0.15">
      <c r="C228" s="33">
        <f t="shared" si="6"/>
        <v>140</v>
      </c>
      <c r="H228" s="31"/>
      <c r="I228" s="32"/>
      <c r="J228" s="31"/>
      <c r="K228" s="31"/>
    </row>
    <row r="229" spans="3:11" x14ac:dyDescent="0.15">
      <c r="C229" s="33">
        <f t="shared" si="6"/>
        <v>141</v>
      </c>
      <c r="H229" s="31"/>
      <c r="I229" s="32"/>
      <c r="J229" s="31"/>
      <c r="K229" s="31"/>
    </row>
    <row r="230" spans="3:11" x14ac:dyDescent="0.15">
      <c r="C230" s="49">
        <f t="shared" si="6"/>
        <v>142</v>
      </c>
    </row>
  </sheetData>
  <mergeCells count="2">
    <mergeCell ref="C2:K2"/>
    <mergeCell ref="C41:K41"/>
  </mergeCells>
  <phoneticPr fontId="1"/>
  <printOptions horizontalCentered="1" verticalCentered="1"/>
  <pageMargins left="0.31496062992125984" right="0.11811023622047245" top="0.47244094488188981" bottom="0.27559055118110237" header="0.19685039370078741" footer="0.19685039370078741"/>
  <pageSetup paperSize="8" scale="130" orientation="landscape" r:id="rId1"/>
  <headerFooter alignWithMargins="0"/>
  <rowBreaks count="1" manualBreakCount="1">
    <brk id="39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B6FB-18CE-4089-A457-AF9B949FB587}">
  <dimension ref="A1:N220"/>
  <sheetViews>
    <sheetView showGridLines="0" view="pageBreakPreview" zoomScaleNormal="100" zoomScaleSheetLayoutView="100" workbookViewId="0"/>
  </sheetViews>
  <sheetFormatPr defaultRowHeight="13.5" x14ac:dyDescent="0.15"/>
  <cols>
    <col min="1" max="1" width="3.5" style="1" customWidth="1"/>
    <col min="2" max="2" width="4.625" style="1" customWidth="1"/>
    <col min="3" max="3" width="9" style="1"/>
    <col min="4" max="4" width="42.625" style="1" customWidth="1"/>
    <col min="5" max="5" width="10.625" style="1" customWidth="1"/>
    <col min="6" max="6" width="8.625" style="1" customWidth="1"/>
    <col min="7" max="7" width="5.25" style="1" customWidth="1"/>
    <col min="8" max="8" width="9" style="1"/>
    <col min="9" max="9" width="42.625" style="1" customWidth="1"/>
    <col min="10" max="10" width="10.625" style="7" customWidth="1"/>
    <col min="11" max="11" width="8.625" style="7" customWidth="1"/>
    <col min="12" max="12" width="4.375" style="7" customWidth="1"/>
    <col min="13" max="16" width="4.75" style="7" customWidth="1"/>
    <col min="17" max="17" width="17.25" style="7" bestFit="1" customWidth="1"/>
    <col min="18" max="18" width="9" style="7"/>
    <col min="19" max="19" width="3.5" style="7" bestFit="1" customWidth="1"/>
    <col min="20" max="20" width="29.5" style="7" bestFit="1" customWidth="1"/>
    <col min="21" max="21" width="6.5" style="7" bestFit="1" customWidth="1"/>
    <col min="22" max="16384" width="9" style="7"/>
  </cols>
  <sheetData>
    <row r="1" spans="2:14" ht="14.25" thickBot="1" x14ac:dyDescent="0.2">
      <c r="B1" s="3"/>
      <c r="C1" s="4"/>
      <c r="D1" s="4"/>
      <c r="E1" s="4"/>
      <c r="F1" s="4"/>
      <c r="G1" s="4"/>
      <c r="H1" s="4"/>
      <c r="I1" s="4"/>
      <c r="J1" s="5"/>
      <c r="K1" s="5"/>
      <c r="L1" s="6"/>
    </row>
    <row r="2" spans="2:14" ht="30" customHeight="1" thickBot="1" x14ac:dyDescent="0.2">
      <c r="B2" s="8"/>
      <c r="C2" s="58" t="s">
        <v>80</v>
      </c>
      <c r="D2" s="59"/>
      <c r="E2" s="59"/>
      <c r="F2" s="59"/>
      <c r="G2" s="59"/>
      <c r="H2" s="59"/>
      <c r="I2" s="59"/>
      <c r="J2" s="59"/>
      <c r="K2" s="60"/>
      <c r="L2" s="9"/>
    </row>
    <row r="3" spans="2:14" ht="11.25" customHeight="1" x14ac:dyDescent="0.15">
      <c r="B3" s="8"/>
      <c r="C3" s="10"/>
      <c r="D3" s="10"/>
      <c r="E3" s="10"/>
      <c r="F3" s="10"/>
      <c r="G3" s="10"/>
      <c r="H3" s="10"/>
      <c r="I3" s="10"/>
      <c r="J3" s="11"/>
      <c r="K3" s="11"/>
      <c r="L3" s="12"/>
      <c r="M3" s="11"/>
      <c r="N3" s="11"/>
    </row>
    <row r="4" spans="2:14" ht="22.5" customHeight="1" x14ac:dyDescent="0.15">
      <c r="B4" s="13"/>
      <c r="C4" s="14" t="s">
        <v>0</v>
      </c>
      <c r="D4" s="14" t="s">
        <v>1</v>
      </c>
      <c r="E4" s="14" t="s">
        <v>2</v>
      </c>
      <c r="F4" s="14" t="s">
        <v>3</v>
      </c>
      <c r="G4" s="15"/>
      <c r="H4" s="14" t="s">
        <v>0</v>
      </c>
      <c r="I4" s="14" t="s">
        <v>1</v>
      </c>
      <c r="J4" s="14" t="s">
        <v>2</v>
      </c>
      <c r="K4" s="14" t="s">
        <v>3</v>
      </c>
      <c r="L4" s="16"/>
      <c r="M4" s="17"/>
      <c r="N4" s="17"/>
    </row>
    <row r="5" spans="2:14" ht="15.75" customHeight="1" x14ac:dyDescent="0.15">
      <c r="B5" s="18"/>
      <c r="C5" s="19">
        <v>1</v>
      </c>
      <c r="D5" s="20" t="str">
        <f t="shared" ref="D5:D37" si="0">IF(OR(C5=0,C5=""),"",VLOOKUP(C5,$C$89:$E$220,2,FALSE))</f>
        <v>平和橋遊水地排水樋門全体図</v>
      </c>
      <c r="E5" s="19" t="str">
        <f t="shared" ref="E5:E37" si="1">IF(OR(C5=0,C5=""),"",VLOOKUP(C5,$C$89:$E$220,3,FALSE))</f>
        <v>1:100</v>
      </c>
      <c r="F5" s="21">
        <f t="shared" ref="F5:F37" si="2">IF(OR(C5=0,C5=""),"",VLOOKUP(C5,$C$89:$F$217,4,FALSE))</f>
        <v>0</v>
      </c>
      <c r="G5" s="22"/>
      <c r="H5" s="19"/>
      <c r="I5" s="20" t="str">
        <f t="shared" ref="I5:I37" si="3">IF(OR(H5=0,H5=""),"",VLOOKUP(H5,$C$89:$E$220,2,FALSE))</f>
        <v/>
      </c>
      <c r="J5" s="19" t="str">
        <f t="shared" ref="J5:J37" si="4">IF(OR(H5=0,H5=""),"",VLOOKUP(H5,$C$89:$E$220,3,FALSE))</f>
        <v/>
      </c>
      <c r="K5" s="21" t="str">
        <f t="shared" ref="K5:K37" si="5">IF(OR(H5=0,H5=""),"",VLOOKUP(H5,$C$89:$F$220,4,FALSE))</f>
        <v/>
      </c>
      <c r="L5" s="23"/>
      <c r="M5" s="17"/>
      <c r="N5" s="17"/>
    </row>
    <row r="6" spans="2:14" ht="15.75" customHeight="1" x14ac:dyDescent="0.15">
      <c r="B6" s="18"/>
      <c r="C6" s="19">
        <f t="shared" ref="C6:C22" si="6">C5+1</f>
        <v>2</v>
      </c>
      <c r="D6" s="20" t="str">
        <f t="shared" si="0"/>
        <v>平和橋遊水地排水樋門一般図</v>
      </c>
      <c r="E6" s="19" t="str">
        <f t="shared" si="1"/>
        <v>1:50</v>
      </c>
      <c r="F6" s="21">
        <f t="shared" si="2"/>
        <v>0</v>
      </c>
      <c r="G6" s="22"/>
      <c r="H6" s="19"/>
      <c r="I6" s="20" t="str">
        <f t="shared" si="3"/>
        <v/>
      </c>
      <c r="J6" s="19" t="str">
        <f t="shared" si="4"/>
        <v/>
      </c>
      <c r="K6" s="21" t="str">
        <f t="shared" si="5"/>
        <v/>
      </c>
      <c r="L6" s="23"/>
      <c r="M6" s="17"/>
      <c r="N6" s="17"/>
    </row>
    <row r="7" spans="2:14" ht="15.75" customHeight="1" x14ac:dyDescent="0.15">
      <c r="B7" s="24"/>
      <c r="C7" s="19">
        <f t="shared" si="6"/>
        <v>3</v>
      </c>
      <c r="D7" s="20" t="str">
        <f t="shared" si="0"/>
        <v>扉体組立図(ローラーゲート)</v>
      </c>
      <c r="E7" s="41" t="str">
        <f t="shared" si="1"/>
        <v>1:10</v>
      </c>
      <c r="F7" s="21">
        <f t="shared" si="2"/>
        <v>0</v>
      </c>
      <c r="G7" s="22"/>
      <c r="H7" s="19"/>
      <c r="I7" s="20" t="str">
        <f t="shared" si="3"/>
        <v/>
      </c>
      <c r="J7" s="19" t="str">
        <f t="shared" si="4"/>
        <v/>
      </c>
      <c r="K7" s="21" t="str">
        <f t="shared" si="5"/>
        <v/>
      </c>
      <c r="L7" s="23"/>
      <c r="M7" s="17"/>
      <c r="N7" s="17"/>
    </row>
    <row r="8" spans="2:14" ht="15.75" customHeight="1" x14ac:dyDescent="0.15">
      <c r="B8" s="24"/>
      <c r="C8" s="19">
        <f t="shared" si="6"/>
        <v>4</v>
      </c>
      <c r="D8" s="20" t="str">
        <f t="shared" si="0"/>
        <v>扉体組立図(フラップゲート)</v>
      </c>
      <c r="E8" s="19" t="str">
        <f t="shared" si="1"/>
        <v>1:3</v>
      </c>
      <c r="F8" s="21">
        <f t="shared" si="2"/>
        <v>0</v>
      </c>
      <c r="G8" s="22"/>
      <c r="H8" s="19"/>
      <c r="I8" s="20" t="str">
        <f t="shared" si="3"/>
        <v/>
      </c>
      <c r="J8" s="19" t="str">
        <f t="shared" si="4"/>
        <v/>
      </c>
      <c r="K8" s="21" t="str">
        <f t="shared" si="5"/>
        <v/>
      </c>
      <c r="L8" s="23"/>
      <c r="M8" s="17"/>
      <c r="N8" s="17"/>
    </row>
    <row r="9" spans="2:14" ht="15.75" customHeight="1" x14ac:dyDescent="0.15">
      <c r="B9" s="24"/>
      <c r="C9" s="19">
        <f t="shared" si="6"/>
        <v>5</v>
      </c>
      <c r="D9" s="20" t="str">
        <f t="shared" si="0"/>
        <v>戸当り組立図</v>
      </c>
      <c r="E9" s="19" t="str">
        <f t="shared" si="1"/>
        <v>1:20</v>
      </c>
      <c r="F9" s="21">
        <f t="shared" si="2"/>
        <v>0</v>
      </c>
      <c r="G9" s="22"/>
      <c r="H9" s="19"/>
      <c r="I9" s="20" t="str">
        <f t="shared" si="3"/>
        <v/>
      </c>
      <c r="J9" s="19" t="str">
        <f t="shared" si="4"/>
        <v/>
      </c>
      <c r="K9" s="21" t="str">
        <f t="shared" si="5"/>
        <v/>
      </c>
      <c r="L9" s="23"/>
      <c r="M9" s="17"/>
      <c r="N9" s="17"/>
    </row>
    <row r="10" spans="2:14" ht="15.75" customHeight="1" x14ac:dyDescent="0.15">
      <c r="B10" s="24"/>
      <c r="C10" s="19">
        <f t="shared" si="6"/>
        <v>6</v>
      </c>
      <c r="D10" s="20" t="str">
        <f t="shared" si="0"/>
        <v>管理橋組立図</v>
      </c>
      <c r="E10" s="19" t="str">
        <f t="shared" si="1"/>
        <v>1:15</v>
      </c>
      <c r="F10" s="21">
        <f t="shared" si="2"/>
        <v>0</v>
      </c>
      <c r="G10" s="22"/>
      <c r="H10" s="19"/>
      <c r="I10" s="20" t="str">
        <f t="shared" si="3"/>
        <v/>
      </c>
      <c r="J10" s="19" t="str">
        <f t="shared" si="4"/>
        <v/>
      </c>
      <c r="K10" s="21" t="str">
        <f t="shared" si="5"/>
        <v/>
      </c>
      <c r="L10" s="23"/>
      <c r="M10" s="17"/>
      <c r="N10" s="17"/>
    </row>
    <row r="11" spans="2:14" ht="15.75" customHeight="1" x14ac:dyDescent="0.15">
      <c r="B11" s="24"/>
      <c r="C11" s="19">
        <f t="shared" si="6"/>
        <v>7</v>
      </c>
      <c r="D11" s="20" t="str">
        <f t="shared" si="0"/>
        <v>管理橋防護柵組立図</v>
      </c>
      <c r="E11" s="19" t="str">
        <f t="shared" si="1"/>
        <v>1:15</v>
      </c>
      <c r="F11" s="21">
        <f t="shared" si="2"/>
        <v>0</v>
      </c>
      <c r="G11" s="22"/>
      <c r="H11" s="19"/>
      <c r="I11" s="20" t="str">
        <f t="shared" si="3"/>
        <v/>
      </c>
      <c r="J11" s="19" t="str">
        <f t="shared" si="4"/>
        <v/>
      </c>
      <c r="K11" s="21" t="str">
        <f t="shared" si="5"/>
        <v/>
      </c>
      <c r="L11" s="23"/>
      <c r="M11" s="17"/>
      <c r="N11" s="17"/>
    </row>
    <row r="12" spans="2:14" ht="15.75" customHeight="1" x14ac:dyDescent="0.15">
      <c r="B12" s="24"/>
      <c r="C12" s="19">
        <f t="shared" si="6"/>
        <v>8</v>
      </c>
      <c r="D12" s="20" t="str">
        <f t="shared" si="0"/>
        <v>翼壁防護柵配置図</v>
      </c>
      <c r="E12" s="19" t="str">
        <f t="shared" si="1"/>
        <v>1:100</v>
      </c>
      <c r="F12" s="21">
        <f t="shared" si="2"/>
        <v>0</v>
      </c>
      <c r="G12" s="22"/>
      <c r="H12" s="19"/>
      <c r="I12" s="20" t="str">
        <f t="shared" si="3"/>
        <v/>
      </c>
      <c r="J12" s="19" t="str">
        <f t="shared" si="4"/>
        <v/>
      </c>
      <c r="K12" s="21" t="str">
        <f t="shared" si="5"/>
        <v/>
      </c>
      <c r="L12" s="23"/>
      <c r="M12" s="17"/>
      <c r="N12" s="17"/>
    </row>
    <row r="13" spans="2:14" ht="15.75" customHeight="1" x14ac:dyDescent="0.15">
      <c r="B13" s="24"/>
      <c r="C13" s="19">
        <f t="shared" si="6"/>
        <v>9</v>
      </c>
      <c r="D13" s="20" t="str">
        <f t="shared" si="0"/>
        <v>胸壁防護柵組立図</v>
      </c>
      <c r="E13" s="19" t="str">
        <f t="shared" si="1"/>
        <v>1:5</v>
      </c>
      <c r="F13" s="21">
        <f t="shared" si="2"/>
        <v>0</v>
      </c>
      <c r="G13" s="22"/>
      <c r="H13" s="19"/>
      <c r="I13" s="20" t="str">
        <f t="shared" si="3"/>
        <v/>
      </c>
      <c r="J13" s="19" t="str">
        <f t="shared" si="4"/>
        <v/>
      </c>
      <c r="K13" s="21" t="str">
        <f t="shared" si="5"/>
        <v/>
      </c>
      <c r="L13" s="23"/>
      <c r="M13" s="17"/>
      <c r="N13" s="17"/>
    </row>
    <row r="14" spans="2:14" ht="15.75" customHeight="1" x14ac:dyDescent="0.15">
      <c r="B14" s="24"/>
      <c r="C14" s="19">
        <f t="shared" si="6"/>
        <v>10</v>
      </c>
      <c r="D14" s="20" t="str">
        <f t="shared" si="0"/>
        <v>翼壁防護柵組立図</v>
      </c>
      <c r="E14" s="19" t="str">
        <f t="shared" si="1"/>
        <v>1:100</v>
      </c>
      <c r="F14" s="21">
        <f t="shared" si="2"/>
        <v>0</v>
      </c>
      <c r="G14" s="25"/>
      <c r="H14" s="19"/>
      <c r="I14" s="20" t="str">
        <f t="shared" si="3"/>
        <v/>
      </c>
      <c r="J14" s="19" t="str">
        <f t="shared" si="4"/>
        <v/>
      </c>
      <c r="K14" s="21" t="str">
        <f t="shared" si="5"/>
        <v/>
      </c>
      <c r="L14" s="23"/>
      <c r="M14" s="17"/>
      <c r="N14" s="17"/>
    </row>
    <row r="15" spans="2:14" ht="15.75" customHeight="1" x14ac:dyDescent="0.15">
      <c r="B15" s="24"/>
      <c r="C15" s="19">
        <f t="shared" si="6"/>
        <v>11</v>
      </c>
      <c r="D15" s="20" t="str">
        <f t="shared" si="0"/>
        <v>開閉装置組立図</v>
      </c>
      <c r="E15" s="19" t="str">
        <f t="shared" si="1"/>
        <v>1:8</v>
      </c>
      <c r="F15" s="21">
        <f t="shared" si="2"/>
        <v>0</v>
      </c>
      <c r="G15" s="25"/>
      <c r="H15" s="19"/>
      <c r="I15" s="20" t="str">
        <f t="shared" si="3"/>
        <v/>
      </c>
      <c r="J15" s="19" t="str">
        <f t="shared" si="4"/>
        <v/>
      </c>
      <c r="K15" s="21" t="str">
        <f t="shared" si="5"/>
        <v/>
      </c>
      <c r="L15" s="23"/>
      <c r="M15" s="17"/>
      <c r="N15" s="17"/>
    </row>
    <row r="16" spans="2:14" ht="15.75" customHeight="1" x14ac:dyDescent="0.15">
      <c r="B16" s="24"/>
      <c r="C16" s="19">
        <f t="shared" si="6"/>
        <v>12</v>
      </c>
      <c r="D16" s="20" t="str">
        <f t="shared" si="0"/>
        <v>箱抜き差し筋図</v>
      </c>
      <c r="E16" s="19" t="str">
        <f t="shared" si="1"/>
        <v>1:40</v>
      </c>
      <c r="F16" s="21">
        <f t="shared" si="2"/>
        <v>0</v>
      </c>
      <c r="G16" s="25"/>
      <c r="H16" s="19"/>
      <c r="I16" s="20" t="str">
        <f t="shared" si="3"/>
        <v/>
      </c>
      <c r="J16" s="19" t="str">
        <f t="shared" si="4"/>
        <v/>
      </c>
      <c r="K16" s="21" t="str">
        <f t="shared" si="5"/>
        <v/>
      </c>
      <c r="L16" s="23"/>
      <c r="M16" s="17"/>
      <c r="N16" s="17"/>
    </row>
    <row r="17" spans="2:14" ht="15.75" customHeight="1" x14ac:dyDescent="0.15">
      <c r="B17" s="24"/>
      <c r="C17" s="19">
        <f t="shared" si="6"/>
        <v>13</v>
      </c>
      <c r="D17" s="20" t="str">
        <f t="shared" si="0"/>
        <v>引込配置図</v>
      </c>
      <c r="E17" s="19" t="str">
        <f t="shared" si="1"/>
        <v>図示</v>
      </c>
      <c r="F17" s="21">
        <f t="shared" si="2"/>
        <v>0</v>
      </c>
      <c r="G17" s="22"/>
      <c r="H17" s="19"/>
      <c r="I17" s="20" t="str">
        <f t="shared" si="3"/>
        <v/>
      </c>
      <c r="J17" s="19" t="str">
        <f t="shared" si="4"/>
        <v/>
      </c>
      <c r="K17" s="21" t="str">
        <f t="shared" si="5"/>
        <v/>
      </c>
      <c r="L17" s="23"/>
      <c r="M17" s="17"/>
      <c r="N17" s="17"/>
    </row>
    <row r="18" spans="2:14" ht="15.75" customHeight="1" x14ac:dyDescent="0.15">
      <c r="B18" s="24"/>
      <c r="C18" s="19">
        <f t="shared" si="6"/>
        <v>14</v>
      </c>
      <c r="D18" s="20" t="str">
        <f t="shared" si="0"/>
        <v>配管配線図</v>
      </c>
      <c r="E18" s="19" t="str">
        <f t="shared" si="1"/>
        <v>1:50</v>
      </c>
      <c r="F18" s="21">
        <f t="shared" si="2"/>
        <v>0</v>
      </c>
      <c r="G18" s="22"/>
      <c r="H18" s="19"/>
      <c r="I18" s="20" t="str">
        <f t="shared" si="3"/>
        <v/>
      </c>
      <c r="J18" s="19" t="str">
        <f t="shared" si="4"/>
        <v/>
      </c>
      <c r="K18" s="21" t="str">
        <f t="shared" si="5"/>
        <v/>
      </c>
      <c r="L18" s="23"/>
      <c r="M18" s="17"/>
      <c r="N18" s="17"/>
    </row>
    <row r="19" spans="2:14" ht="15.75" customHeight="1" x14ac:dyDescent="0.15">
      <c r="B19" s="24"/>
      <c r="C19" s="19">
        <f t="shared" si="6"/>
        <v>15</v>
      </c>
      <c r="D19" s="20" t="str">
        <f t="shared" si="0"/>
        <v>水位計配置図</v>
      </c>
      <c r="E19" s="19" t="str">
        <f t="shared" si="1"/>
        <v>図示</v>
      </c>
      <c r="F19" s="21">
        <f t="shared" si="2"/>
        <v>0</v>
      </c>
      <c r="G19" s="22"/>
      <c r="H19" s="19"/>
      <c r="I19" s="20" t="str">
        <f t="shared" si="3"/>
        <v/>
      </c>
      <c r="J19" s="19" t="str">
        <f t="shared" si="4"/>
        <v/>
      </c>
      <c r="K19" s="21" t="str">
        <f t="shared" si="5"/>
        <v/>
      </c>
      <c r="L19" s="23"/>
      <c r="M19" s="17"/>
      <c r="N19" s="17"/>
    </row>
    <row r="20" spans="2:14" ht="15.75" customHeight="1" x14ac:dyDescent="0.15">
      <c r="B20" s="24"/>
      <c r="C20" s="19">
        <f t="shared" si="6"/>
        <v>16</v>
      </c>
      <c r="D20" s="20" t="str">
        <f t="shared" si="0"/>
        <v>配管配線系統図</v>
      </c>
      <c r="E20" s="19" t="str">
        <f t="shared" si="1"/>
        <v>noscale</v>
      </c>
      <c r="F20" s="21">
        <f t="shared" si="2"/>
        <v>0</v>
      </c>
      <c r="G20" s="25"/>
      <c r="H20" s="19"/>
      <c r="I20" s="20" t="str">
        <f t="shared" si="3"/>
        <v/>
      </c>
      <c r="J20" s="19" t="str">
        <f t="shared" si="4"/>
        <v/>
      </c>
      <c r="K20" s="21" t="str">
        <f t="shared" si="5"/>
        <v/>
      </c>
      <c r="L20" s="23"/>
      <c r="M20" s="17"/>
      <c r="N20" s="17"/>
    </row>
    <row r="21" spans="2:14" ht="15.75" customHeight="1" x14ac:dyDescent="0.15">
      <c r="B21" s="24"/>
      <c r="C21" s="19">
        <f t="shared" si="6"/>
        <v>17</v>
      </c>
      <c r="D21" s="20" t="str">
        <f t="shared" si="0"/>
        <v>単線結線図</v>
      </c>
      <c r="E21" s="19" t="str">
        <f t="shared" si="1"/>
        <v>noscale</v>
      </c>
      <c r="F21" s="21">
        <f t="shared" si="2"/>
        <v>0</v>
      </c>
      <c r="G21" s="25"/>
      <c r="H21" s="19"/>
      <c r="I21" s="20" t="str">
        <f t="shared" si="3"/>
        <v/>
      </c>
      <c r="J21" s="19" t="str">
        <f t="shared" si="4"/>
        <v/>
      </c>
      <c r="K21" s="21" t="str">
        <f t="shared" si="5"/>
        <v/>
      </c>
      <c r="L21" s="23"/>
      <c r="M21" s="17"/>
      <c r="N21" s="17"/>
    </row>
    <row r="22" spans="2:14" ht="15.75" customHeight="1" x14ac:dyDescent="0.15">
      <c r="B22" s="24"/>
      <c r="C22" s="19">
        <f t="shared" si="6"/>
        <v>18</v>
      </c>
      <c r="D22" s="20" t="str">
        <f t="shared" si="0"/>
        <v>盤外形図</v>
      </c>
      <c r="E22" s="19" t="str">
        <f t="shared" si="1"/>
        <v>1:10</v>
      </c>
      <c r="F22" s="21">
        <f t="shared" si="2"/>
        <v>0</v>
      </c>
      <c r="G22" s="25"/>
      <c r="H22" s="19"/>
      <c r="I22" s="20" t="str">
        <f t="shared" si="3"/>
        <v/>
      </c>
      <c r="J22" s="19" t="str">
        <f t="shared" si="4"/>
        <v/>
      </c>
      <c r="K22" s="21" t="str">
        <f t="shared" si="5"/>
        <v/>
      </c>
      <c r="L22" s="23"/>
      <c r="M22" s="17"/>
      <c r="N22" s="17"/>
    </row>
    <row r="23" spans="2:14" ht="15.75" customHeight="1" x14ac:dyDescent="0.15">
      <c r="B23" s="24"/>
      <c r="C23" s="19"/>
      <c r="D23" s="20" t="str">
        <f t="shared" si="0"/>
        <v/>
      </c>
      <c r="E23" s="19" t="str">
        <f t="shared" si="1"/>
        <v/>
      </c>
      <c r="F23" s="21" t="str">
        <f t="shared" si="2"/>
        <v/>
      </c>
      <c r="G23" s="22"/>
      <c r="H23" s="19"/>
      <c r="I23" s="20" t="str">
        <f t="shared" si="3"/>
        <v/>
      </c>
      <c r="J23" s="19" t="str">
        <f t="shared" si="4"/>
        <v/>
      </c>
      <c r="K23" s="21" t="str">
        <f t="shared" si="5"/>
        <v/>
      </c>
      <c r="L23" s="23"/>
      <c r="M23" s="17"/>
      <c r="N23" s="17"/>
    </row>
    <row r="24" spans="2:14" ht="15.75" customHeight="1" x14ac:dyDescent="0.15">
      <c r="B24" s="24"/>
      <c r="C24" s="19"/>
      <c r="D24" s="20" t="str">
        <f t="shared" si="0"/>
        <v/>
      </c>
      <c r="E24" s="19" t="str">
        <f t="shared" si="1"/>
        <v/>
      </c>
      <c r="F24" s="21" t="str">
        <f t="shared" si="2"/>
        <v/>
      </c>
      <c r="G24" s="22"/>
      <c r="H24" s="19"/>
      <c r="I24" s="20" t="str">
        <f t="shared" si="3"/>
        <v/>
      </c>
      <c r="J24" s="19" t="str">
        <f t="shared" si="4"/>
        <v/>
      </c>
      <c r="K24" s="21" t="str">
        <f t="shared" si="5"/>
        <v/>
      </c>
      <c r="L24" s="23"/>
      <c r="M24" s="17"/>
      <c r="N24" s="17"/>
    </row>
    <row r="25" spans="2:14" ht="15.75" customHeight="1" x14ac:dyDescent="0.15">
      <c r="B25" s="24"/>
      <c r="C25" s="19"/>
      <c r="D25" s="20" t="str">
        <f t="shared" si="0"/>
        <v/>
      </c>
      <c r="E25" s="19" t="str">
        <f t="shared" si="1"/>
        <v/>
      </c>
      <c r="F25" s="21" t="str">
        <f t="shared" si="2"/>
        <v/>
      </c>
      <c r="G25" s="22"/>
      <c r="H25" s="19"/>
      <c r="I25" s="20" t="str">
        <f t="shared" si="3"/>
        <v/>
      </c>
      <c r="J25" s="19" t="str">
        <f t="shared" si="4"/>
        <v/>
      </c>
      <c r="K25" s="21" t="str">
        <f t="shared" si="5"/>
        <v/>
      </c>
      <c r="L25" s="23"/>
      <c r="M25" s="17"/>
      <c r="N25" s="17"/>
    </row>
    <row r="26" spans="2:14" ht="15.75" customHeight="1" x14ac:dyDescent="0.15">
      <c r="B26" s="24"/>
      <c r="C26" s="19"/>
      <c r="D26" s="20" t="str">
        <f t="shared" si="0"/>
        <v/>
      </c>
      <c r="E26" s="19" t="str">
        <f t="shared" si="1"/>
        <v/>
      </c>
      <c r="F26" s="21" t="str">
        <f t="shared" si="2"/>
        <v/>
      </c>
      <c r="G26" s="22"/>
      <c r="H26" s="19"/>
      <c r="I26" s="20" t="str">
        <f t="shared" si="3"/>
        <v/>
      </c>
      <c r="J26" s="19" t="str">
        <f t="shared" si="4"/>
        <v/>
      </c>
      <c r="K26" s="21" t="str">
        <f t="shared" si="5"/>
        <v/>
      </c>
      <c r="L26" s="23"/>
      <c r="M26" s="17"/>
      <c r="N26" s="17"/>
    </row>
    <row r="27" spans="2:14" ht="15.75" customHeight="1" x14ac:dyDescent="0.15">
      <c r="B27" s="24"/>
      <c r="C27" s="19"/>
      <c r="D27" s="20" t="str">
        <f t="shared" si="0"/>
        <v/>
      </c>
      <c r="E27" s="19" t="str">
        <f t="shared" si="1"/>
        <v/>
      </c>
      <c r="F27" s="21" t="str">
        <f t="shared" si="2"/>
        <v/>
      </c>
      <c r="G27" s="22"/>
      <c r="H27" s="19"/>
      <c r="I27" s="20" t="str">
        <f t="shared" si="3"/>
        <v/>
      </c>
      <c r="J27" s="19" t="str">
        <f t="shared" si="4"/>
        <v/>
      </c>
      <c r="K27" s="21" t="str">
        <f t="shared" si="5"/>
        <v/>
      </c>
      <c r="L27" s="23"/>
      <c r="M27" s="17"/>
      <c r="N27" s="17"/>
    </row>
    <row r="28" spans="2:14" ht="15.75" customHeight="1" x14ac:dyDescent="0.15">
      <c r="B28" s="24"/>
      <c r="C28" s="19"/>
      <c r="D28" s="20" t="str">
        <f t="shared" si="0"/>
        <v/>
      </c>
      <c r="E28" s="19" t="str">
        <f t="shared" si="1"/>
        <v/>
      </c>
      <c r="F28" s="21" t="str">
        <f t="shared" si="2"/>
        <v/>
      </c>
      <c r="G28" s="22"/>
      <c r="H28" s="19"/>
      <c r="I28" s="20" t="str">
        <f t="shared" si="3"/>
        <v/>
      </c>
      <c r="J28" s="19" t="str">
        <f t="shared" si="4"/>
        <v/>
      </c>
      <c r="K28" s="21" t="str">
        <f t="shared" si="5"/>
        <v/>
      </c>
      <c r="L28" s="23"/>
      <c r="M28" s="17"/>
      <c r="N28" s="17"/>
    </row>
    <row r="29" spans="2:14" ht="15.75" customHeight="1" x14ac:dyDescent="0.15">
      <c r="B29" s="24"/>
      <c r="C29" s="19"/>
      <c r="D29" s="20" t="str">
        <f t="shared" si="0"/>
        <v/>
      </c>
      <c r="E29" s="19" t="str">
        <f t="shared" si="1"/>
        <v/>
      </c>
      <c r="F29" s="21" t="str">
        <f t="shared" si="2"/>
        <v/>
      </c>
      <c r="G29" s="22"/>
      <c r="H29" s="19"/>
      <c r="I29" s="20" t="str">
        <f t="shared" si="3"/>
        <v/>
      </c>
      <c r="J29" s="19" t="str">
        <f t="shared" si="4"/>
        <v/>
      </c>
      <c r="K29" s="21" t="str">
        <f t="shared" si="5"/>
        <v/>
      </c>
      <c r="L29" s="23"/>
      <c r="M29" s="17"/>
      <c r="N29" s="17"/>
    </row>
    <row r="30" spans="2:14" ht="15.75" customHeight="1" x14ac:dyDescent="0.15">
      <c r="B30" s="24"/>
      <c r="C30" s="19"/>
      <c r="D30" s="20" t="str">
        <f t="shared" si="0"/>
        <v/>
      </c>
      <c r="E30" s="19" t="str">
        <f t="shared" si="1"/>
        <v/>
      </c>
      <c r="F30" s="21" t="str">
        <f t="shared" si="2"/>
        <v/>
      </c>
      <c r="G30" s="22"/>
      <c r="H30" s="19"/>
      <c r="I30" s="20" t="str">
        <f t="shared" si="3"/>
        <v/>
      </c>
      <c r="J30" s="19" t="str">
        <f t="shared" si="4"/>
        <v/>
      </c>
      <c r="K30" s="21" t="str">
        <f t="shared" si="5"/>
        <v/>
      </c>
      <c r="L30" s="23"/>
      <c r="M30" s="17"/>
      <c r="N30" s="17"/>
    </row>
    <row r="31" spans="2:14" ht="15.75" customHeight="1" x14ac:dyDescent="0.15">
      <c r="B31" s="24"/>
      <c r="C31" s="19"/>
      <c r="D31" s="20" t="str">
        <f t="shared" si="0"/>
        <v/>
      </c>
      <c r="E31" s="19" t="str">
        <f t="shared" si="1"/>
        <v/>
      </c>
      <c r="F31" s="21" t="str">
        <f t="shared" si="2"/>
        <v/>
      </c>
      <c r="G31" s="22"/>
      <c r="H31" s="19"/>
      <c r="I31" s="20" t="str">
        <f t="shared" si="3"/>
        <v/>
      </c>
      <c r="J31" s="19" t="str">
        <f t="shared" si="4"/>
        <v/>
      </c>
      <c r="K31" s="21" t="str">
        <f t="shared" si="5"/>
        <v/>
      </c>
      <c r="L31" s="23"/>
      <c r="M31" s="17"/>
      <c r="N31" s="17"/>
    </row>
    <row r="32" spans="2:14" ht="15.75" customHeight="1" x14ac:dyDescent="0.15">
      <c r="B32" s="24"/>
      <c r="C32" s="19"/>
      <c r="D32" s="20" t="str">
        <f t="shared" si="0"/>
        <v/>
      </c>
      <c r="E32" s="19" t="str">
        <f t="shared" si="1"/>
        <v/>
      </c>
      <c r="F32" s="21" t="str">
        <f t="shared" si="2"/>
        <v/>
      </c>
      <c r="G32" s="22"/>
      <c r="H32" s="19"/>
      <c r="I32" s="20" t="str">
        <f t="shared" si="3"/>
        <v/>
      </c>
      <c r="J32" s="19" t="str">
        <f t="shared" si="4"/>
        <v/>
      </c>
      <c r="K32" s="21" t="str">
        <f t="shared" si="5"/>
        <v/>
      </c>
      <c r="L32" s="23"/>
      <c r="M32" s="17"/>
      <c r="N32" s="17"/>
    </row>
    <row r="33" spans="2:14" ht="15.75" customHeight="1" x14ac:dyDescent="0.15">
      <c r="B33" s="24"/>
      <c r="C33" s="19"/>
      <c r="D33" s="20" t="str">
        <f t="shared" si="0"/>
        <v/>
      </c>
      <c r="E33" s="19" t="str">
        <f t="shared" si="1"/>
        <v/>
      </c>
      <c r="F33" s="21" t="str">
        <f t="shared" si="2"/>
        <v/>
      </c>
      <c r="G33" s="22"/>
      <c r="H33" s="19"/>
      <c r="I33" s="20" t="str">
        <f t="shared" si="3"/>
        <v/>
      </c>
      <c r="J33" s="19" t="str">
        <f t="shared" si="4"/>
        <v/>
      </c>
      <c r="K33" s="21" t="str">
        <f t="shared" si="5"/>
        <v/>
      </c>
      <c r="L33" s="23"/>
      <c r="M33" s="17"/>
      <c r="N33" s="17"/>
    </row>
    <row r="34" spans="2:14" ht="15.75" customHeight="1" x14ac:dyDescent="0.15">
      <c r="B34" s="24"/>
      <c r="C34" s="19"/>
      <c r="D34" s="20" t="str">
        <f t="shared" si="0"/>
        <v/>
      </c>
      <c r="E34" s="19" t="str">
        <f t="shared" si="1"/>
        <v/>
      </c>
      <c r="F34" s="21" t="str">
        <f t="shared" si="2"/>
        <v/>
      </c>
      <c r="G34" s="22"/>
      <c r="H34" s="19"/>
      <c r="I34" s="20" t="str">
        <f t="shared" si="3"/>
        <v/>
      </c>
      <c r="J34" s="19" t="str">
        <f t="shared" si="4"/>
        <v/>
      </c>
      <c r="K34" s="21" t="str">
        <f t="shared" si="5"/>
        <v/>
      </c>
      <c r="L34" s="23"/>
      <c r="M34" s="17"/>
      <c r="N34" s="17"/>
    </row>
    <row r="35" spans="2:14" ht="15.75" customHeight="1" x14ac:dyDescent="0.15">
      <c r="B35" s="24"/>
      <c r="C35" s="19"/>
      <c r="D35" s="20" t="str">
        <f t="shared" si="0"/>
        <v/>
      </c>
      <c r="E35" s="19" t="str">
        <f t="shared" si="1"/>
        <v/>
      </c>
      <c r="F35" s="21" t="str">
        <f t="shared" si="2"/>
        <v/>
      </c>
      <c r="G35" s="22"/>
      <c r="H35" s="19"/>
      <c r="I35" s="20" t="str">
        <f t="shared" si="3"/>
        <v/>
      </c>
      <c r="J35" s="19" t="str">
        <f t="shared" si="4"/>
        <v/>
      </c>
      <c r="K35" s="21" t="str">
        <f t="shared" si="5"/>
        <v/>
      </c>
      <c r="L35" s="23"/>
      <c r="M35" s="17"/>
      <c r="N35" s="17"/>
    </row>
    <row r="36" spans="2:14" ht="15.75" customHeight="1" x14ac:dyDescent="0.15">
      <c r="B36" s="24"/>
      <c r="C36" s="19"/>
      <c r="D36" s="20" t="str">
        <f t="shared" si="0"/>
        <v/>
      </c>
      <c r="E36" s="19" t="str">
        <f t="shared" si="1"/>
        <v/>
      </c>
      <c r="F36" s="21" t="str">
        <f t="shared" si="2"/>
        <v/>
      </c>
      <c r="G36" s="22"/>
      <c r="H36" s="19"/>
      <c r="I36" s="20" t="str">
        <f t="shared" si="3"/>
        <v/>
      </c>
      <c r="J36" s="19" t="str">
        <f t="shared" si="4"/>
        <v/>
      </c>
      <c r="K36" s="21" t="str">
        <f t="shared" si="5"/>
        <v/>
      </c>
      <c r="L36" s="23"/>
      <c r="M36" s="17"/>
      <c r="N36" s="17"/>
    </row>
    <row r="37" spans="2:14" ht="15.75" customHeight="1" x14ac:dyDescent="0.15">
      <c r="B37" s="24"/>
      <c r="C37" s="19"/>
      <c r="D37" s="20" t="str">
        <f t="shared" si="0"/>
        <v/>
      </c>
      <c r="E37" s="19" t="str">
        <f t="shared" si="1"/>
        <v/>
      </c>
      <c r="F37" s="21" t="str">
        <f t="shared" si="2"/>
        <v/>
      </c>
      <c r="G37" s="22"/>
      <c r="H37" s="19"/>
      <c r="I37" s="20" t="str">
        <f t="shared" si="3"/>
        <v/>
      </c>
      <c r="J37" s="19" t="str">
        <f t="shared" si="4"/>
        <v/>
      </c>
      <c r="K37" s="21" t="str">
        <f t="shared" si="5"/>
        <v/>
      </c>
      <c r="L37" s="23"/>
      <c r="M37" s="17"/>
      <c r="N37" s="17"/>
    </row>
    <row r="38" spans="2:14" ht="18" customHeight="1" x14ac:dyDescent="0.15">
      <c r="B38" s="26"/>
      <c r="C38" s="27"/>
      <c r="D38" s="28"/>
      <c r="E38" s="27"/>
      <c r="F38" s="27"/>
      <c r="G38" s="29"/>
      <c r="H38" s="27"/>
      <c r="I38" s="28"/>
      <c r="J38" s="27"/>
      <c r="K38" s="27"/>
      <c r="L38" s="30"/>
      <c r="M38" s="17"/>
      <c r="N38" s="17"/>
    </row>
    <row r="39" spans="2:14" ht="18" customHeight="1" x14ac:dyDescent="0.15">
      <c r="B39" s="15"/>
      <c r="C39" s="31"/>
      <c r="D39" s="32"/>
      <c r="E39" s="31"/>
      <c r="F39" s="31"/>
      <c r="G39" s="15"/>
      <c r="H39" s="31"/>
      <c r="I39" s="32"/>
      <c r="J39" s="31"/>
      <c r="K39" s="31"/>
      <c r="L39" s="17"/>
      <c r="M39" s="17"/>
      <c r="N39" s="17"/>
    </row>
    <row r="40" spans="2:14" ht="14.25" thickBot="1" x14ac:dyDescent="0.2">
      <c r="B40" s="3"/>
      <c r="C40" s="4"/>
      <c r="D40" s="4"/>
      <c r="E40" s="4"/>
      <c r="F40" s="4"/>
      <c r="G40" s="4"/>
      <c r="H40" s="4"/>
      <c r="I40" s="4"/>
      <c r="J40" s="5"/>
      <c r="K40" s="5"/>
      <c r="L40" s="6"/>
    </row>
    <row r="41" spans="2:14" ht="30" customHeight="1" thickBot="1" x14ac:dyDescent="0.2">
      <c r="B41" s="8"/>
      <c r="C41" s="58" t="s">
        <v>85</v>
      </c>
      <c r="D41" s="59"/>
      <c r="E41" s="59"/>
      <c r="F41" s="59"/>
      <c r="G41" s="59"/>
      <c r="H41" s="59"/>
      <c r="I41" s="59"/>
      <c r="J41" s="59"/>
      <c r="K41" s="60"/>
      <c r="L41" s="9"/>
    </row>
    <row r="42" spans="2:14" ht="11.25" customHeight="1" x14ac:dyDescent="0.15">
      <c r="B42" s="8"/>
      <c r="C42" s="10"/>
      <c r="D42" s="10"/>
      <c r="E42" s="10"/>
      <c r="F42" s="10"/>
      <c r="G42" s="10"/>
      <c r="H42" s="10"/>
      <c r="I42" s="10"/>
      <c r="J42" s="11"/>
      <c r="K42" s="11"/>
      <c r="L42" s="12"/>
      <c r="M42" s="11"/>
      <c r="N42" s="11"/>
    </row>
    <row r="43" spans="2:14" ht="22.5" customHeight="1" x14ac:dyDescent="0.15">
      <c r="B43" s="13"/>
      <c r="C43" s="14" t="s">
        <v>0</v>
      </c>
      <c r="D43" s="14" t="s">
        <v>1</v>
      </c>
      <c r="E43" s="14" t="s">
        <v>2</v>
      </c>
      <c r="F43" s="14" t="s">
        <v>3</v>
      </c>
      <c r="G43" s="15"/>
      <c r="H43" s="14" t="s">
        <v>0</v>
      </c>
      <c r="I43" s="14" t="s">
        <v>1</v>
      </c>
      <c r="J43" s="14" t="s">
        <v>2</v>
      </c>
      <c r="K43" s="14" t="s">
        <v>3</v>
      </c>
      <c r="L43" s="16"/>
      <c r="M43" s="17"/>
      <c r="N43" s="17"/>
    </row>
    <row r="44" spans="2:14" ht="15.75" customHeight="1" x14ac:dyDescent="0.15">
      <c r="B44" s="18"/>
      <c r="C44" s="19"/>
      <c r="D44" s="20" t="str">
        <f t="shared" ref="D44:D76" si="7">IF(OR(C44=0,C44=""),"",VLOOKUP(C44,$C$89:$E$220,2,FALSE))</f>
        <v/>
      </c>
      <c r="E44" s="19" t="str">
        <f t="shared" ref="E44:E76" si="8">IF(OR(C44=0,C44=""),"",VLOOKUP(C44,$C$89:$E$220,3,FALSE))</f>
        <v/>
      </c>
      <c r="F44" s="21" t="str">
        <f t="shared" ref="F44:F76" si="9">IF(OR(C44=0,C44=""),"",VLOOKUP(C44,$C$89:$F$217,4,FALSE))</f>
        <v/>
      </c>
      <c r="G44" s="22"/>
      <c r="H44" s="19"/>
      <c r="I44" s="20" t="str">
        <f t="shared" ref="I44:I76" si="10">IF(OR(H44=0,H44=""),"",VLOOKUP(H44,$C$89:$E$220,2,FALSE))</f>
        <v/>
      </c>
      <c r="J44" s="19" t="str">
        <f t="shared" ref="J44:J67" si="11">IF(OR(H44=0,H44=""),"",VLOOKUP(H44,$C$89:$E$220,3,FALSE))</f>
        <v/>
      </c>
      <c r="K44" s="21" t="str">
        <f t="shared" ref="K44:K76" si="12">IF(OR(H44=0,H44=""),"",VLOOKUP(H44,$C$89:$F$220,4,FALSE))</f>
        <v/>
      </c>
      <c r="L44" s="23"/>
      <c r="M44" s="17"/>
      <c r="N44" s="17"/>
    </row>
    <row r="45" spans="2:14" ht="15.75" customHeight="1" x14ac:dyDescent="0.15">
      <c r="B45" s="18"/>
      <c r="C45" s="19"/>
      <c r="D45" s="20" t="str">
        <f t="shared" si="7"/>
        <v/>
      </c>
      <c r="E45" s="19" t="str">
        <f t="shared" si="8"/>
        <v/>
      </c>
      <c r="F45" s="21" t="str">
        <f t="shared" si="9"/>
        <v/>
      </c>
      <c r="G45" s="22"/>
      <c r="H45" s="19"/>
      <c r="I45" s="20" t="str">
        <f t="shared" si="10"/>
        <v/>
      </c>
      <c r="J45" s="19" t="str">
        <f t="shared" si="11"/>
        <v/>
      </c>
      <c r="K45" s="21" t="str">
        <f t="shared" si="12"/>
        <v/>
      </c>
      <c r="L45" s="23"/>
      <c r="M45" s="17"/>
      <c r="N45" s="17"/>
    </row>
    <row r="46" spans="2:14" ht="15.75" customHeight="1" x14ac:dyDescent="0.15">
      <c r="B46" s="24"/>
      <c r="C46" s="19"/>
      <c r="D46" s="20" t="str">
        <f t="shared" si="7"/>
        <v/>
      </c>
      <c r="E46" s="19" t="str">
        <f t="shared" si="8"/>
        <v/>
      </c>
      <c r="F46" s="21" t="str">
        <f t="shared" si="9"/>
        <v/>
      </c>
      <c r="G46" s="22"/>
      <c r="H46" s="19"/>
      <c r="I46" s="20" t="str">
        <f t="shared" si="10"/>
        <v/>
      </c>
      <c r="J46" s="19" t="str">
        <f t="shared" si="11"/>
        <v/>
      </c>
      <c r="K46" s="21" t="str">
        <f t="shared" si="12"/>
        <v/>
      </c>
      <c r="L46" s="23"/>
      <c r="M46" s="17"/>
      <c r="N46" s="17"/>
    </row>
    <row r="47" spans="2:14" ht="15.75" customHeight="1" x14ac:dyDescent="0.15">
      <c r="B47" s="24"/>
      <c r="C47" s="19"/>
      <c r="D47" s="20" t="str">
        <f t="shared" si="7"/>
        <v/>
      </c>
      <c r="E47" s="19" t="str">
        <f t="shared" si="8"/>
        <v/>
      </c>
      <c r="F47" s="21" t="str">
        <f t="shared" si="9"/>
        <v/>
      </c>
      <c r="G47" s="22"/>
      <c r="H47" s="19"/>
      <c r="I47" s="20" t="str">
        <f t="shared" si="10"/>
        <v/>
      </c>
      <c r="J47" s="19" t="str">
        <f t="shared" si="11"/>
        <v/>
      </c>
      <c r="K47" s="21" t="str">
        <f t="shared" si="12"/>
        <v/>
      </c>
      <c r="L47" s="23"/>
      <c r="M47" s="17"/>
      <c r="N47" s="17"/>
    </row>
    <row r="48" spans="2:14" ht="15.75" customHeight="1" x14ac:dyDescent="0.15">
      <c r="B48" s="24"/>
      <c r="C48" s="19"/>
      <c r="D48" s="20" t="str">
        <f t="shared" si="7"/>
        <v/>
      </c>
      <c r="E48" s="19" t="str">
        <f t="shared" si="8"/>
        <v/>
      </c>
      <c r="F48" s="21" t="str">
        <f t="shared" si="9"/>
        <v/>
      </c>
      <c r="G48" s="22"/>
      <c r="H48" s="19"/>
      <c r="I48" s="20" t="str">
        <f t="shared" si="10"/>
        <v/>
      </c>
      <c r="J48" s="19" t="str">
        <f t="shared" si="11"/>
        <v/>
      </c>
      <c r="K48" s="21" t="str">
        <f t="shared" si="12"/>
        <v/>
      </c>
      <c r="L48" s="23"/>
      <c r="M48" s="17"/>
      <c r="N48" s="17"/>
    </row>
    <row r="49" spans="2:14" ht="15.75" customHeight="1" x14ac:dyDescent="0.15">
      <c r="B49" s="24"/>
      <c r="C49" s="19"/>
      <c r="D49" s="20" t="str">
        <f t="shared" si="7"/>
        <v/>
      </c>
      <c r="E49" s="19" t="str">
        <f t="shared" si="8"/>
        <v/>
      </c>
      <c r="F49" s="21" t="str">
        <f t="shared" si="9"/>
        <v/>
      </c>
      <c r="G49" s="22"/>
      <c r="H49" s="19"/>
      <c r="I49" s="20" t="str">
        <f t="shared" si="10"/>
        <v/>
      </c>
      <c r="J49" s="19" t="str">
        <f t="shared" si="11"/>
        <v/>
      </c>
      <c r="K49" s="21" t="str">
        <f t="shared" si="12"/>
        <v/>
      </c>
      <c r="L49" s="23"/>
      <c r="M49" s="17"/>
      <c r="N49" s="17"/>
    </row>
    <row r="50" spans="2:14" ht="15.75" customHeight="1" x14ac:dyDescent="0.15">
      <c r="B50" s="24"/>
      <c r="C50" s="19"/>
      <c r="D50" s="20" t="str">
        <f t="shared" si="7"/>
        <v/>
      </c>
      <c r="E50" s="19" t="str">
        <f t="shared" si="8"/>
        <v/>
      </c>
      <c r="F50" s="21" t="str">
        <f t="shared" si="9"/>
        <v/>
      </c>
      <c r="G50" s="22"/>
      <c r="H50" s="19"/>
      <c r="I50" s="20" t="str">
        <f t="shared" si="10"/>
        <v/>
      </c>
      <c r="J50" s="19" t="str">
        <f t="shared" si="11"/>
        <v/>
      </c>
      <c r="K50" s="21" t="str">
        <f t="shared" si="12"/>
        <v/>
      </c>
      <c r="L50" s="23"/>
      <c r="M50" s="17"/>
      <c r="N50" s="17"/>
    </row>
    <row r="51" spans="2:14" ht="15.75" customHeight="1" x14ac:dyDescent="0.15">
      <c r="B51" s="24"/>
      <c r="C51" s="19"/>
      <c r="D51" s="20" t="str">
        <f t="shared" si="7"/>
        <v/>
      </c>
      <c r="E51" s="19" t="str">
        <f t="shared" si="8"/>
        <v/>
      </c>
      <c r="F51" s="21" t="str">
        <f t="shared" si="9"/>
        <v/>
      </c>
      <c r="G51" s="22"/>
      <c r="H51" s="19"/>
      <c r="I51" s="20" t="str">
        <f t="shared" si="10"/>
        <v/>
      </c>
      <c r="J51" s="19" t="str">
        <f t="shared" si="11"/>
        <v/>
      </c>
      <c r="K51" s="21" t="str">
        <f t="shared" si="12"/>
        <v/>
      </c>
      <c r="L51" s="23"/>
      <c r="M51" s="17"/>
      <c r="N51" s="17"/>
    </row>
    <row r="52" spans="2:14" ht="15.75" customHeight="1" x14ac:dyDescent="0.15">
      <c r="B52" s="24"/>
      <c r="C52" s="19"/>
      <c r="D52" s="20" t="str">
        <f t="shared" si="7"/>
        <v/>
      </c>
      <c r="E52" s="19" t="str">
        <f t="shared" si="8"/>
        <v/>
      </c>
      <c r="F52" s="21" t="str">
        <f t="shared" si="9"/>
        <v/>
      </c>
      <c r="G52" s="22"/>
      <c r="H52" s="19"/>
      <c r="I52" s="20" t="str">
        <f t="shared" si="10"/>
        <v/>
      </c>
      <c r="J52" s="19" t="str">
        <f t="shared" si="11"/>
        <v/>
      </c>
      <c r="K52" s="21" t="str">
        <f t="shared" si="12"/>
        <v/>
      </c>
      <c r="L52" s="23"/>
      <c r="M52" s="17"/>
      <c r="N52" s="17"/>
    </row>
    <row r="53" spans="2:14" ht="15.75" customHeight="1" x14ac:dyDescent="0.15">
      <c r="B53" s="24"/>
      <c r="C53" s="19"/>
      <c r="D53" s="20" t="str">
        <f t="shared" si="7"/>
        <v/>
      </c>
      <c r="E53" s="19" t="str">
        <f t="shared" si="8"/>
        <v/>
      </c>
      <c r="F53" s="21" t="str">
        <f t="shared" si="9"/>
        <v/>
      </c>
      <c r="G53" s="25"/>
      <c r="H53" s="19"/>
      <c r="I53" s="20" t="str">
        <f t="shared" si="10"/>
        <v/>
      </c>
      <c r="J53" s="19" t="str">
        <f t="shared" si="11"/>
        <v/>
      </c>
      <c r="K53" s="21" t="str">
        <f t="shared" si="12"/>
        <v/>
      </c>
      <c r="L53" s="23"/>
      <c r="M53" s="17"/>
      <c r="N53" s="17"/>
    </row>
    <row r="54" spans="2:14" ht="15.75" customHeight="1" x14ac:dyDescent="0.15">
      <c r="B54" s="24"/>
      <c r="C54" s="19"/>
      <c r="D54" s="20" t="str">
        <f t="shared" si="7"/>
        <v/>
      </c>
      <c r="E54" s="19" t="str">
        <f t="shared" si="8"/>
        <v/>
      </c>
      <c r="F54" s="21" t="str">
        <f t="shared" si="9"/>
        <v/>
      </c>
      <c r="G54" s="25"/>
      <c r="H54" s="19"/>
      <c r="I54" s="20" t="str">
        <f t="shared" si="10"/>
        <v/>
      </c>
      <c r="J54" s="19" t="str">
        <f t="shared" si="11"/>
        <v/>
      </c>
      <c r="K54" s="21" t="str">
        <f t="shared" si="12"/>
        <v/>
      </c>
      <c r="L54" s="23"/>
      <c r="M54" s="17"/>
      <c r="N54" s="17"/>
    </row>
    <row r="55" spans="2:14" ht="15.75" customHeight="1" x14ac:dyDescent="0.15">
      <c r="B55" s="24"/>
      <c r="C55" s="19"/>
      <c r="D55" s="20" t="str">
        <f t="shared" si="7"/>
        <v/>
      </c>
      <c r="E55" s="19" t="str">
        <f t="shared" si="8"/>
        <v/>
      </c>
      <c r="F55" s="21" t="str">
        <f t="shared" si="9"/>
        <v/>
      </c>
      <c r="G55" s="25"/>
      <c r="H55" s="19"/>
      <c r="I55" s="20" t="str">
        <f t="shared" si="10"/>
        <v/>
      </c>
      <c r="J55" s="19" t="str">
        <f t="shared" si="11"/>
        <v/>
      </c>
      <c r="K55" s="21" t="str">
        <f t="shared" si="12"/>
        <v/>
      </c>
      <c r="L55" s="23"/>
      <c r="M55" s="17"/>
      <c r="N55" s="17"/>
    </row>
    <row r="56" spans="2:14" ht="15.75" customHeight="1" x14ac:dyDescent="0.15">
      <c r="B56" s="24"/>
      <c r="C56" s="19"/>
      <c r="D56" s="20" t="str">
        <f t="shared" si="7"/>
        <v/>
      </c>
      <c r="E56" s="19" t="str">
        <f t="shared" si="8"/>
        <v/>
      </c>
      <c r="F56" s="21" t="str">
        <f t="shared" si="9"/>
        <v/>
      </c>
      <c r="G56" s="22"/>
      <c r="H56" s="19"/>
      <c r="I56" s="20" t="str">
        <f t="shared" si="10"/>
        <v/>
      </c>
      <c r="J56" s="19" t="str">
        <f t="shared" si="11"/>
        <v/>
      </c>
      <c r="K56" s="21" t="str">
        <f t="shared" si="12"/>
        <v/>
      </c>
      <c r="L56" s="23"/>
      <c r="M56" s="17"/>
      <c r="N56" s="17"/>
    </row>
    <row r="57" spans="2:14" ht="15.75" customHeight="1" x14ac:dyDescent="0.15">
      <c r="B57" s="24"/>
      <c r="C57" s="19"/>
      <c r="D57" s="20" t="str">
        <f t="shared" si="7"/>
        <v/>
      </c>
      <c r="E57" s="19" t="str">
        <f t="shared" si="8"/>
        <v/>
      </c>
      <c r="F57" s="21" t="str">
        <f t="shared" si="9"/>
        <v/>
      </c>
      <c r="G57" s="22"/>
      <c r="H57" s="19"/>
      <c r="I57" s="20" t="str">
        <f t="shared" si="10"/>
        <v/>
      </c>
      <c r="J57" s="19" t="str">
        <f t="shared" si="11"/>
        <v/>
      </c>
      <c r="K57" s="21" t="str">
        <f t="shared" si="12"/>
        <v/>
      </c>
      <c r="L57" s="23"/>
      <c r="M57" s="17"/>
      <c r="N57" s="17"/>
    </row>
    <row r="58" spans="2:14" ht="15.75" customHeight="1" x14ac:dyDescent="0.15">
      <c r="B58" s="24"/>
      <c r="C58" s="19"/>
      <c r="D58" s="20" t="str">
        <f t="shared" si="7"/>
        <v/>
      </c>
      <c r="E58" s="19" t="str">
        <f t="shared" si="8"/>
        <v/>
      </c>
      <c r="F58" s="21" t="str">
        <f t="shared" si="9"/>
        <v/>
      </c>
      <c r="G58" s="22"/>
      <c r="H58" s="19"/>
      <c r="I58" s="20" t="str">
        <f t="shared" si="10"/>
        <v/>
      </c>
      <c r="J58" s="19" t="str">
        <f t="shared" si="11"/>
        <v/>
      </c>
      <c r="K58" s="21" t="str">
        <f t="shared" si="12"/>
        <v/>
      </c>
      <c r="L58" s="23"/>
      <c r="M58" s="17"/>
      <c r="N58" s="17"/>
    </row>
    <row r="59" spans="2:14" ht="15.75" customHeight="1" x14ac:dyDescent="0.15">
      <c r="B59" s="24"/>
      <c r="C59" s="19"/>
      <c r="D59" s="20" t="str">
        <f t="shared" si="7"/>
        <v/>
      </c>
      <c r="E59" s="19" t="str">
        <f t="shared" si="8"/>
        <v/>
      </c>
      <c r="F59" s="21" t="str">
        <f t="shared" si="9"/>
        <v/>
      </c>
      <c r="G59" s="25"/>
      <c r="H59" s="19"/>
      <c r="I59" s="20" t="str">
        <f t="shared" si="10"/>
        <v/>
      </c>
      <c r="J59" s="19" t="str">
        <f t="shared" si="11"/>
        <v/>
      </c>
      <c r="K59" s="21" t="str">
        <f t="shared" si="12"/>
        <v/>
      </c>
      <c r="L59" s="23"/>
      <c r="M59" s="17"/>
      <c r="N59" s="17"/>
    </row>
    <row r="60" spans="2:14" ht="15.75" customHeight="1" x14ac:dyDescent="0.15">
      <c r="B60" s="24"/>
      <c r="C60" s="19"/>
      <c r="D60" s="20" t="str">
        <f t="shared" si="7"/>
        <v/>
      </c>
      <c r="E60" s="19" t="str">
        <f t="shared" si="8"/>
        <v/>
      </c>
      <c r="F60" s="21" t="str">
        <f t="shared" si="9"/>
        <v/>
      </c>
      <c r="G60" s="25"/>
      <c r="H60" s="19"/>
      <c r="I60" s="20" t="str">
        <f t="shared" si="10"/>
        <v/>
      </c>
      <c r="J60" s="19" t="str">
        <f t="shared" si="11"/>
        <v/>
      </c>
      <c r="K60" s="21" t="str">
        <f t="shared" si="12"/>
        <v/>
      </c>
      <c r="L60" s="23"/>
      <c r="M60" s="17"/>
      <c r="N60" s="17"/>
    </row>
    <row r="61" spans="2:14" ht="15.75" customHeight="1" x14ac:dyDescent="0.15">
      <c r="B61" s="24"/>
      <c r="C61" s="19"/>
      <c r="D61" s="20" t="str">
        <f t="shared" si="7"/>
        <v/>
      </c>
      <c r="E61" s="19" t="str">
        <f t="shared" si="8"/>
        <v/>
      </c>
      <c r="F61" s="21" t="str">
        <f t="shared" si="9"/>
        <v/>
      </c>
      <c r="G61" s="25"/>
      <c r="H61" s="19"/>
      <c r="I61" s="20" t="str">
        <f t="shared" si="10"/>
        <v/>
      </c>
      <c r="J61" s="19" t="str">
        <f t="shared" si="11"/>
        <v/>
      </c>
      <c r="K61" s="21" t="str">
        <f t="shared" si="12"/>
        <v/>
      </c>
      <c r="L61" s="23"/>
      <c r="M61" s="17"/>
      <c r="N61" s="17"/>
    </row>
    <row r="62" spans="2:14" ht="15.75" customHeight="1" x14ac:dyDescent="0.15">
      <c r="B62" s="24"/>
      <c r="C62" s="19"/>
      <c r="D62" s="20" t="str">
        <f t="shared" si="7"/>
        <v/>
      </c>
      <c r="E62" s="19" t="str">
        <f t="shared" si="8"/>
        <v/>
      </c>
      <c r="F62" s="21" t="str">
        <f t="shared" si="9"/>
        <v/>
      </c>
      <c r="G62" s="22"/>
      <c r="H62" s="19"/>
      <c r="I62" s="20" t="str">
        <f t="shared" si="10"/>
        <v/>
      </c>
      <c r="J62" s="19" t="str">
        <f t="shared" si="11"/>
        <v/>
      </c>
      <c r="K62" s="21" t="str">
        <f t="shared" si="12"/>
        <v/>
      </c>
      <c r="L62" s="23"/>
      <c r="M62" s="17"/>
      <c r="N62" s="17"/>
    </row>
    <row r="63" spans="2:14" ht="15.75" customHeight="1" x14ac:dyDescent="0.15">
      <c r="B63" s="24"/>
      <c r="C63" s="19"/>
      <c r="D63" s="20" t="str">
        <f t="shared" si="7"/>
        <v/>
      </c>
      <c r="E63" s="19" t="str">
        <f t="shared" si="8"/>
        <v/>
      </c>
      <c r="F63" s="21" t="str">
        <f t="shared" si="9"/>
        <v/>
      </c>
      <c r="G63" s="22"/>
      <c r="H63" s="19"/>
      <c r="I63" s="20" t="str">
        <f t="shared" si="10"/>
        <v/>
      </c>
      <c r="J63" s="19" t="str">
        <f t="shared" si="11"/>
        <v/>
      </c>
      <c r="K63" s="21" t="str">
        <f t="shared" si="12"/>
        <v/>
      </c>
      <c r="L63" s="23"/>
      <c r="M63" s="17"/>
      <c r="N63" s="17"/>
    </row>
    <row r="64" spans="2:14" ht="15.75" customHeight="1" x14ac:dyDescent="0.15">
      <c r="B64" s="24"/>
      <c r="C64" s="19"/>
      <c r="D64" s="20" t="str">
        <f t="shared" si="7"/>
        <v/>
      </c>
      <c r="E64" s="19" t="str">
        <f t="shared" si="8"/>
        <v/>
      </c>
      <c r="F64" s="21" t="str">
        <f t="shared" si="9"/>
        <v/>
      </c>
      <c r="G64" s="22"/>
      <c r="H64" s="19"/>
      <c r="I64" s="20" t="str">
        <f t="shared" si="10"/>
        <v/>
      </c>
      <c r="J64" s="19" t="str">
        <f t="shared" si="11"/>
        <v/>
      </c>
      <c r="K64" s="21" t="str">
        <f t="shared" si="12"/>
        <v/>
      </c>
      <c r="L64" s="23"/>
      <c r="M64" s="17"/>
      <c r="N64" s="17"/>
    </row>
    <row r="65" spans="2:14" ht="15.75" customHeight="1" x14ac:dyDescent="0.15">
      <c r="B65" s="24"/>
      <c r="C65" s="19"/>
      <c r="D65" s="20" t="str">
        <f t="shared" si="7"/>
        <v/>
      </c>
      <c r="E65" s="19" t="str">
        <f t="shared" si="8"/>
        <v/>
      </c>
      <c r="F65" s="21" t="str">
        <f t="shared" si="9"/>
        <v/>
      </c>
      <c r="G65" s="22"/>
      <c r="H65" s="19"/>
      <c r="I65" s="20" t="str">
        <f t="shared" si="10"/>
        <v/>
      </c>
      <c r="J65" s="19" t="str">
        <f t="shared" si="11"/>
        <v/>
      </c>
      <c r="K65" s="21" t="str">
        <f t="shared" si="12"/>
        <v/>
      </c>
      <c r="L65" s="23"/>
      <c r="M65" s="17"/>
      <c r="N65" s="17"/>
    </row>
    <row r="66" spans="2:14" ht="15.75" customHeight="1" x14ac:dyDescent="0.15">
      <c r="B66" s="24"/>
      <c r="C66" s="19"/>
      <c r="D66" s="20" t="str">
        <f t="shared" si="7"/>
        <v/>
      </c>
      <c r="E66" s="19" t="str">
        <f t="shared" si="8"/>
        <v/>
      </c>
      <c r="F66" s="21" t="str">
        <f t="shared" si="9"/>
        <v/>
      </c>
      <c r="G66" s="22"/>
      <c r="H66" s="19"/>
      <c r="I66" s="20" t="str">
        <f t="shared" si="10"/>
        <v/>
      </c>
      <c r="J66" s="19" t="str">
        <f t="shared" si="11"/>
        <v/>
      </c>
      <c r="K66" s="21" t="str">
        <f t="shared" si="12"/>
        <v/>
      </c>
      <c r="L66" s="23"/>
      <c r="M66" s="17"/>
      <c r="N66" s="17"/>
    </row>
    <row r="67" spans="2:14" ht="15.75" customHeight="1" x14ac:dyDescent="0.15">
      <c r="B67" s="24"/>
      <c r="C67" s="19"/>
      <c r="D67" s="20" t="str">
        <f t="shared" si="7"/>
        <v/>
      </c>
      <c r="E67" s="19" t="str">
        <f t="shared" si="8"/>
        <v/>
      </c>
      <c r="F67" s="21" t="str">
        <f t="shared" si="9"/>
        <v/>
      </c>
      <c r="G67" s="22"/>
      <c r="H67" s="19"/>
      <c r="I67" s="20" t="str">
        <f t="shared" si="10"/>
        <v/>
      </c>
      <c r="J67" s="19" t="str">
        <f t="shared" si="11"/>
        <v/>
      </c>
      <c r="K67" s="21" t="str">
        <f t="shared" si="12"/>
        <v/>
      </c>
      <c r="L67" s="23"/>
      <c r="M67" s="17"/>
      <c r="N67" s="17"/>
    </row>
    <row r="68" spans="2:14" ht="15.75" customHeight="1" x14ac:dyDescent="0.15">
      <c r="B68" s="24"/>
      <c r="C68" s="19"/>
      <c r="D68" s="20" t="str">
        <f t="shared" si="7"/>
        <v/>
      </c>
      <c r="E68" s="19" t="str">
        <f t="shared" si="8"/>
        <v/>
      </c>
      <c r="F68" s="21" t="str">
        <f t="shared" si="9"/>
        <v/>
      </c>
      <c r="G68" s="22"/>
      <c r="H68" s="19"/>
      <c r="I68" s="20" t="str">
        <f t="shared" si="10"/>
        <v/>
      </c>
      <c r="J68" s="19" t="str">
        <f t="shared" ref="J68:J75" si="13">IF(OR(H68=0,H68=""),"",VLOOKUP(H68,$C$89:$E$220,3,FALSE))</f>
        <v/>
      </c>
      <c r="K68" s="21" t="str">
        <f t="shared" si="12"/>
        <v/>
      </c>
      <c r="L68" s="23"/>
      <c r="M68" s="17"/>
      <c r="N68" s="17"/>
    </row>
    <row r="69" spans="2:14" ht="15.75" customHeight="1" x14ac:dyDescent="0.15">
      <c r="B69" s="24"/>
      <c r="C69" s="19"/>
      <c r="D69" s="20" t="str">
        <f t="shared" si="7"/>
        <v/>
      </c>
      <c r="E69" s="19" t="str">
        <f t="shared" si="8"/>
        <v/>
      </c>
      <c r="F69" s="21" t="str">
        <f t="shared" si="9"/>
        <v/>
      </c>
      <c r="G69" s="22"/>
      <c r="H69" s="19"/>
      <c r="I69" s="20" t="str">
        <f t="shared" si="10"/>
        <v/>
      </c>
      <c r="J69" s="19" t="str">
        <f t="shared" si="13"/>
        <v/>
      </c>
      <c r="K69" s="21" t="str">
        <f t="shared" si="12"/>
        <v/>
      </c>
      <c r="L69" s="23"/>
      <c r="M69" s="17"/>
      <c r="N69" s="17"/>
    </row>
    <row r="70" spans="2:14" ht="15.75" customHeight="1" x14ac:dyDescent="0.15">
      <c r="B70" s="24"/>
      <c r="C70" s="19"/>
      <c r="D70" s="20" t="str">
        <f t="shared" si="7"/>
        <v/>
      </c>
      <c r="E70" s="19" t="str">
        <f t="shared" si="8"/>
        <v/>
      </c>
      <c r="F70" s="21" t="str">
        <f t="shared" si="9"/>
        <v/>
      </c>
      <c r="G70" s="22"/>
      <c r="H70" s="19"/>
      <c r="I70" s="20" t="str">
        <f t="shared" si="10"/>
        <v/>
      </c>
      <c r="J70" s="19" t="str">
        <f t="shared" si="13"/>
        <v/>
      </c>
      <c r="K70" s="21" t="str">
        <f t="shared" si="12"/>
        <v/>
      </c>
      <c r="L70" s="23"/>
      <c r="M70" s="17"/>
      <c r="N70" s="17"/>
    </row>
    <row r="71" spans="2:14" ht="15.75" customHeight="1" x14ac:dyDescent="0.15">
      <c r="B71" s="24"/>
      <c r="C71" s="19"/>
      <c r="D71" s="20" t="str">
        <f t="shared" si="7"/>
        <v/>
      </c>
      <c r="E71" s="19" t="str">
        <f t="shared" si="8"/>
        <v/>
      </c>
      <c r="F71" s="21" t="str">
        <f t="shared" si="9"/>
        <v/>
      </c>
      <c r="G71" s="22"/>
      <c r="H71" s="19"/>
      <c r="I71" s="20" t="str">
        <f t="shared" si="10"/>
        <v/>
      </c>
      <c r="J71" s="19" t="str">
        <f t="shared" si="13"/>
        <v/>
      </c>
      <c r="K71" s="21" t="str">
        <f t="shared" si="12"/>
        <v/>
      </c>
      <c r="L71" s="23"/>
      <c r="M71" s="17"/>
      <c r="N71" s="17"/>
    </row>
    <row r="72" spans="2:14" ht="15.75" customHeight="1" x14ac:dyDescent="0.15">
      <c r="B72" s="24"/>
      <c r="C72" s="19"/>
      <c r="D72" s="20" t="str">
        <f t="shared" si="7"/>
        <v/>
      </c>
      <c r="E72" s="19" t="str">
        <f t="shared" si="8"/>
        <v/>
      </c>
      <c r="F72" s="21" t="str">
        <f t="shared" si="9"/>
        <v/>
      </c>
      <c r="G72" s="22"/>
      <c r="H72" s="19"/>
      <c r="I72" s="20" t="str">
        <f t="shared" si="10"/>
        <v/>
      </c>
      <c r="J72" s="19" t="str">
        <f t="shared" si="13"/>
        <v/>
      </c>
      <c r="K72" s="21" t="str">
        <f t="shared" si="12"/>
        <v/>
      </c>
      <c r="L72" s="23"/>
      <c r="M72" s="17"/>
      <c r="N72" s="17"/>
    </row>
    <row r="73" spans="2:14" ht="15.75" customHeight="1" x14ac:dyDescent="0.15">
      <c r="B73" s="24"/>
      <c r="C73" s="19"/>
      <c r="D73" s="20" t="str">
        <f t="shared" si="7"/>
        <v/>
      </c>
      <c r="E73" s="19" t="str">
        <f t="shared" si="8"/>
        <v/>
      </c>
      <c r="F73" s="21" t="str">
        <f t="shared" si="9"/>
        <v/>
      </c>
      <c r="G73" s="22"/>
      <c r="H73" s="19"/>
      <c r="I73" s="20" t="str">
        <f t="shared" si="10"/>
        <v/>
      </c>
      <c r="J73" s="19" t="str">
        <f t="shared" si="13"/>
        <v/>
      </c>
      <c r="K73" s="21" t="str">
        <f t="shared" si="12"/>
        <v/>
      </c>
      <c r="L73" s="23"/>
      <c r="M73" s="17"/>
      <c r="N73" s="17"/>
    </row>
    <row r="74" spans="2:14" ht="15.75" customHeight="1" x14ac:dyDescent="0.15">
      <c r="B74" s="24"/>
      <c r="C74" s="19"/>
      <c r="D74" s="20" t="str">
        <f t="shared" si="7"/>
        <v/>
      </c>
      <c r="E74" s="19" t="str">
        <f t="shared" si="8"/>
        <v/>
      </c>
      <c r="F74" s="21" t="str">
        <f t="shared" si="9"/>
        <v/>
      </c>
      <c r="G74" s="22"/>
      <c r="H74" s="19"/>
      <c r="I74" s="20" t="str">
        <f t="shared" si="10"/>
        <v/>
      </c>
      <c r="J74" s="19" t="str">
        <f t="shared" si="13"/>
        <v/>
      </c>
      <c r="K74" s="21" t="str">
        <f t="shared" si="12"/>
        <v/>
      </c>
      <c r="L74" s="23"/>
      <c r="M74" s="17"/>
      <c r="N74" s="17"/>
    </row>
    <row r="75" spans="2:14" ht="15.75" customHeight="1" x14ac:dyDescent="0.15">
      <c r="B75" s="24"/>
      <c r="C75" s="19"/>
      <c r="D75" s="20" t="str">
        <f t="shared" si="7"/>
        <v/>
      </c>
      <c r="E75" s="19" t="str">
        <f t="shared" si="8"/>
        <v/>
      </c>
      <c r="F75" s="21" t="str">
        <f t="shared" si="9"/>
        <v/>
      </c>
      <c r="G75" s="22"/>
      <c r="H75" s="19"/>
      <c r="I75" s="20" t="str">
        <f t="shared" si="10"/>
        <v/>
      </c>
      <c r="J75" s="19" t="str">
        <f t="shared" si="13"/>
        <v/>
      </c>
      <c r="K75" s="21" t="str">
        <f t="shared" si="12"/>
        <v/>
      </c>
      <c r="L75" s="23"/>
      <c r="M75" s="17"/>
      <c r="N75" s="17"/>
    </row>
    <row r="76" spans="2:14" ht="15.75" customHeight="1" x14ac:dyDescent="0.15">
      <c r="B76" s="24"/>
      <c r="C76" s="19"/>
      <c r="D76" s="20" t="str">
        <f t="shared" si="7"/>
        <v/>
      </c>
      <c r="E76" s="19" t="str">
        <f t="shared" si="8"/>
        <v/>
      </c>
      <c r="F76" s="21" t="str">
        <f t="shared" si="9"/>
        <v/>
      </c>
      <c r="G76" s="22"/>
      <c r="H76" s="19"/>
      <c r="I76" s="20" t="str">
        <f t="shared" si="10"/>
        <v/>
      </c>
      <c r="J76" s="19" t="str">
        <f>IF(OR(H76=0,H76=""),"",VLOOKUP(H76,$C$89:$E$220,3,FALSE))</f>
        <v/>
      </c>
      <c r="K76" s="21" t="str">
        <f t="shared" si="12"/>
        <v/>
      </c>
      <c r="L76" s="23"/>
      <c r="M76" s="17"/>
      <c r="N76" s="17"/>
    </row>
    <row r="77" spans="2:14" ht="18" customHeight="1" x14ac:dyDescent="0.15">
      <c r="B77" s="26"/>
      <c r="C77" s="27"/>
      <c r="D77" s="28"/>
      <c r="E77" s="27"/>
      <c r="F77" s="27"/>
      <c r="G77" s="29"/>
      <c r="H77" s="27"/>
      <c r="I77" s="28"/>
      <c r="J77" s="27"/>
      <c r="K77" s="27"/>
      <c r="L77" s="30"/>
      <c r="M77" s="17"/>
      <c r="N77" s="17"/>
    </row>
    <row r="78" spans="2:14" ht="18" customHeight="1" x14ac:dyDescent="0.15">
      <c r="B78" s="15"/>
      <c r="C78" s="31"/>
      <c r="D78" s="32"/>
      <c r="E78" s="31"/>
      <c r="F78" s="31"/>
      <c r="G78" s="15"/>
      <c r="H78" s="31"/>
      <c r="I78" s="32"/>
      <c r="J78" s="31"/>
      <c r="K78" s="31"/>
      <c r="L78" s="17"/>
      <c r="M78" s="17"/>
      <c r="N78" s="17"/>
    </row>
    <row r="79" spans="2:14" ht="18" customHeight="1" x14ac:dyDescent="0.15">
      <c r="B79" s="15"/>
      <c r="C79" s="31"/>
      <c r="D79" s="32"/>
      <c r="E79" s="31"/>
      <c r="F79" s="31"/>
      <c r="G79" s="15"/>
      <c r="H79" s="31"/>
      <c r="I79" s="32"/>
      <c r="J79" s="31"/>
      <c r="K79" s="31"/>
      <c r="L79" s="17"/>
      <c r="M79" s="17"/>
      <c r="N79" s="17"/>
    </row>
    <row r="80" spans="2:14" x14ac:dyDescent="0.15">
      <c r="C80" s="31"/>
      <c r="D80" s="32"/>
      <c r="E80" s="31"/>
      <c r="F80" s="31"/>
      <c r="H80" s="31"/>
      <c r="I80" s="32"/>
      <c r="J80" s="31"/>
      <c r="K80" s="31"/>
      <c r="N80" s="17"/>
    </row>
    <row r="81" spans="3:14" x14ac:dyDescent="0.15">
      <c r="C81" s="31"/>
      <c r="D81" s="32"/>
      <c r="E81" s="31"/>
      <c r="F81" s="31"/>
      <c r="H81" s="31"/>
      <c r="I81" s="32"/>
      <c r="J81" s="31"/>
      <c r="K81" s="31"/>
      <c r="N81" s="17"/>
    </row>
    <row r="82" spans="3:14" x14ac:dyDescent="0.15">
      <c r="C82" s="31"/>
      <c r="D82" s="32"/>
      <c r="E82" s="31"/>
      <c r="F82" s="31"/>
      <c r="H82" s="31"/>
      <c r="I82" s="32"/>
      <c r="J82" s="31"/>
      <c r="K82" s="31"/>
      <c r="N82" s="17"/>
    </row>
    <row r="83" spans="3:14" x14ac:dyDescent="0.15">
      <c r="C83" s="31"/>
      <c r="D83" s="32"/>
      <c r="E83" s="31"/>
      <c r="F83" s="31"/>
      <c r="H83" s="31"/>
      <c r="I83" s="32"/>
      <c r="J83" s="31"/>
      <c r="K83" s="31"/>
      <c r="N83" s="17"/>
    </row>
    <row r="84" spans="3:14" x14ac:dyDescent="0.15">
      <c r="C84" s="31"/>
      <c r="D84" s="32"/>
      <c r="E84" s="31"/>
      <c r="F84" s="31"/>
      <c r="H84" s="31"/>
      <c r="I84" s="32"/>
      <c r="J84" s="31"/>
      <c r="K84" s="31"/>
      <c r="N84" s="17"/>
    </row>
    <row r="85" spans="3:14" x14ac:dyDescent="0.15">
      <c r="C85" s="31"/>
      <c r="D85" s="32"/>
      <c r="E85" s="31"/>
      <c r="F85" s="31"/>
      <c r="H85" s="31"/>
      <c r="I85" s="32"/>
      <c r="J85" s="31"/>
      <c r="K85" s="31"/>
      <c r="N85" s="17"/>
    </row>
    <row r="86" spans="3:14" x14ac:dyDescent="0.15">
      <c r="C86" s="31"/>
      <c r="D86" s="32"/>
      <c r="E86" s="31"/>
      <c r="F86" s="31"/>
      <c r="H86" s="31"/>
      <c r="I86" s="32"/>
      <c r="J86" s="31"/>
      <c r="K86" s="31"/>
      <c r="N86" s="17"/>
    </row>
    <row r="87" spans="3:14" x14ac:dyDescent="0.15">
      <c r="C87" s="31"/>
      <c r="D87" s="32"/>
      <c r="E87" s="31"/>
      <c r="F87" s="31"/>
      <c r="H87" s="31"/>
      <c r="I87" s="32"/>
      <c r="J87" s="31"/>
      <c r="K87" s="31"/>
      <c r="N87" s="17"/>
    </row>
    <row r="88" spans="3:14" x14ac:dyDescent="0.15">
      <c r="C88" s="31"/>
      <c r="D88" s="32"/>
      <c r="E88" s="31"/>
      <c r="F88" s="31"/>
      <c r="H88" s="31"/>
      <c r="I88" s="32"/>
      <c r="J88" s="31"/>
      <c r="K88" s="31"/>
      <c r="N88" s="17"/>
    </row>
    <row r="89" spans="3:14" x14ac:dyDescent="0.15">
      <c r="C89" s="46">
        <v>1</v>
      </c>
      <c r="D89" s="47" t="s">
        <v>81</v>
      </c>
      <c r="E89" s="51" t="s">
        <v>42</v>
      </c>
      <c r="F89" s="48"/>
      <c r="H89" s="31"/>
      <c r="I89" s="32"/>
      <c r="J89" s="31"/>
      <c r="K89" s="31"/>
      <c r="N89" s="17"/>
    </row>
    <row r="90" spans="3:14" x14ac:dyDescent="0.15">
      <c r="C90" s="33">
        <f>C89+1</f>
        <v>2</v>
      </c>
      <c r="D90" s="2" t="s">
        <v>82</v>
      </c>
      <c r="E90" s="52" t="s">
        <v>43</v>
      </c>
      <c r="F90" s="34"/>
      <c r="H90" s="31"/>
      <c r="I90" s="32"/>
      <c r="J90" s="31"/>
      <c r="K90" s="31"/>
      <c r="N90" s="17"/>
    </row>
    <row r="91" spans="3:14" x14ac:dyDescent="0.15">
      <c r="C91" s="33">
        <f>C90+1</f>
        <v>3</v>
      </c>
      <c r="D91" s="2" t="s">
        <v>44</v>
      </c>
      <c r="E91" s="53" t="s">
        <v>45</v>
      </c>
      <c r="F91" s="34"/>
      <c r="H91" s="31"/>
      <c r="I91" s="32"/>
      <c r="J91" s="31"/>
      <c r="K91" s="31"/>
      <c r="N91" s="17"/>
    </row>
    <row r="92" spans="3:14" x14ac:dyDescent="0.15">
      <c r="C92" s="33">
        <f>C91+1</f>
        <v>4</v>
      </c>
      <c r="D92" s="2" t="s">
        <v>46</v>
      </c>
      <c r="E92" s="53" t="s">
        <v>47</v>
      </c>
      <c r="F92" s="34"/>
      <c r="H92" s="31"/>
      <c r="I92" s="32"/>
      <c r="J92" s="31"/>
      <c r="K92" s="31"/>
      <c r="N92" s="17"/>
    </row>
    <row r="93" spans="3:14" x14ac:dyDescent="0.15">
      <c r="C93" s="33">
        <f>C92+1</f>
        <v>5</v>
      </c>
      <c r="D93" s="2" t="s">
        <v>48</v>
      </c>
      <c r="E93" s="53" t="s">
        <v>49</v>
      </c>
      <c r="F93" s="34"/>
      <c r="H93" s="31"/>
      <c r="I93" s="32"/>
      <c r="J93" s="31"/>
      <c r="K93" s="31"/>
      <c r="N93" s="17"/>
    </row>
    <row r="94" spans="3:14" x14ac:dyDescent="0.15">
      <c r="C94" s="33">
        <v>6</v>
      </c>
      <c r="D94" s="2" t="s">
        <v>50</v>
      </c>
      <c r="E94" s="53" t="s">
        <v>51</v>
      </c>
      <c r="F94" s="34"/>
      <c r="H94" s="31"/>
      <c r="I94" s="32"/>
      <c r="J94" s="31"/>
      <c r="K94" s="31"/>
      <c r="N94" s="17"/>
    </row>
    <row r="95" spans="3:14" x14ac:dyDescent="0.15">
      <c r="C95" s="33">
        <f t="shared" ref="C95:C130" si="14">C94+1</f>
        <v>7</v>
      </c>
      <c r="D95" s="2" t="s">
        <v>52</v>
      </c>
      <c r="E95" s="52" t="s">
        <v>51</v>
      </c>
      <c r="F95" s="34"/>
      <c r="H95" s="31"/>
      <c r="I95" s="32"/>
      <c r="J95" s="31"/>
      <c r="K95" s="31"/>
      <c r="N95" s="17"/>
    </row>
    <row r="96" spans="3:14" x14ac:dyDescent="0.15">
      <c r="C96" s="33">
        <f t="shared" si="14"/>
        <v>8</v>
      </c>
      <c r="D96" s="2" t="s">
        <v>53</v>
      </c>
      <c r="E96" s="53" t="s">
        <v>42</v>
      </c>
      <c r="F96" s="34"/>
      <c r="H96" s="31"/>
      <c r="I96" s="32"/>
      <c r="J96" s="31"/>
      <c r="K96" s="31"/>
      <c r="N96" s="17"/>
    </row>
    <row r="97" spans="3:11" x14ac:dyDescent="0.15">
      <c r="C97" s="33">
        <f t="shared" si="14"/>
        <v>9</v>
      </c>
      <c r="D97" s="2" t="s">
        <v>54</v>
      </c>
      <c r="E97" s="53" t="s">
        <v>55</v>
      </c>
      <c r="F97" s="34"/>
      <c r="H97" s="31"/>
      <c r="I97" s="32"/>
      <c r="J97" s="31"/>
      <c r="K97" s="31"/>
    </row>
    <row r="98" spans="3:11" x14ac:dyDescent="0.15">
      <c r="C98" s="33">
        <f t="shared" si="14"/>
        <v>10</v>
      </c>
      <c r="D98" s="2" t="s">
        <v>56</v>
      </c>
      <c r="E98" s="53" t="s">
        <v>42</v>
      </c>
      <c r="F98" s="34"/>
      <c r="H98" s="31"/>
      <c r="I98" s="32"/>
      <c r="J98" s="31"/>
      <c r="K98" s="31"/>
    </row>
    <row r="99" spans="3:11" x14ac:dyDescent="0.15">
      <c r="C99" s="33">
        <f t="shared" si="14"/>
        <v>11</v>
      </c>
      <c r="D99" s="2" t="s">
        <v>57</v>
      </c>
      <c r="E99" s="53" t="s">
        <v>58</v>
      </c>
      <c r="F99" s="34"/>
      <c r="H99" s="31"/>
      <c r="I99" s="32"/>
      <c r="J99" s="31"/>
      <c r="K99" s="31"/>
    </row>
    <row r="100" spans="3:11" x14ac:dyDescent="0.15">
      <c r="C100" s="33">
        <f t="shared" si="14"/>
        <v>12</v>
      </c>
      <c r="D100" s="2" t="s">
        <v>59</v>
      </c>
      <c r="E100" s="53" t="s">
        <v>60</v>
      </c>
      <c r="F100" s="34"/>
      <c r="H100" s="31"/>
      <c r="I100" s="32"/>
      <c r="J100" s="31"/>
      <c r="K100" s="31"/>
    </row>
    <row r="101" spans="3:11" x14ac:dyDescent="0.15">
      <c r="C101" s="33">
        <f t="shared" si="14"/>
        <v>13</v>
      </c>
      <c r="D101" s="2" t="s">
        <v>61</v>
      </c>
      <c r="E101" s="53" t="s">
        <v>62</v>
      </c>
      <c r="F101" s="34"/>
      <c r="H101" s="31"/>
      <c r="I101" s="32"/>
      <c r="J101" s="31"/>
      <c r="K101" s="31"/>
    </row>
    <row r="102" spans="3:11" x14ac:dyDescent="0.15">
      <c r="C102" s="33">
        <f t="shared" si="14"/>
        <v>14</v>
      </c>
      <c r="D102" s="2" t="s">
        <v>63</v>
      </c>
      <c r="E102" s="53" t="s">
        <v>43</v>
      </c>
      <c r="F102" s="34"/>
      <c r="G102" s="1" t="s">
        <v>4</v>
      </c>
      <c r="H102" s="31"/>
      <c r="I102" s="32"/>
      <c r="J102" s="31"/>
      <c r="K102" s="31"/>
    </row>
    <row r="103" spans="3:11" x14ac:dyDescent="0.15">
      <c r="C103" s="33">
        <f t="shared" si="14"/>
        <v>15</v>
      </c>
      <c r="D103" s="2" t="s">
        <v>64</v>
      </c>
      <c r="E103" s="52" t="s">
        <v>62</v>
      </c>
      <c r="F103" s="34"/>
      <c r="H103" s="31"/>
      <c r="I103" s="32"/>
      <c r="J103" s="31"/>
      <c r="K103" s="31"/>
    </row>
    <row r="104" spans="3:11" x14ac:dyDescent="0.15">
      <c r="C104" s="33">
        <f t="shared" si="14"/>
        <v>16</v>
      </c>
      <c r="D104" s="2" t="s">
        <v>65</v>
      </c>
      <c r="E104" s="52" t="s">
        <v>66</v>
      </c>
      <c r="F104" s="34"/>
      <c r="H104" s="31"/>
      <c r="I104" s="32"/>
      <c r="J104" s="31"/>
      <c r="K104" s="31"/>
    </row>
    <row r="105" spans="3:11" x14ac:dyDescent="0.15">
      <c r="C105" s="33">
        <f>C104+1</f>
        <v>17</v>
      </c>
      <c r="D105" s="2" t="s">
        <v>67</v>
      </c>
      <c r="E105" s="52" t="s">
        <v>66</v>
      </c>
      <c r="F105" s="34"/>
      <c r="H105" s="31"/>
      <c r="I105" s="32"/>
      <c r="J105" s="31"/>
      <c r="K105" s="31"/>
    </row>
    <row r="106" spans="3:11" x14ac:dyDescent="0.15">
      <c r="C106" s="33">
        <f t="shared" si="14"/>
        <v>18</v>
      </c>
      <c r="D106" s="2" t="s">
        <v>68</v>
      </c>
      <c r="E106" s="52" t="s">
        <v>45</v>
      </c>
      <c r="F106" s="34"/>
      <c r="H106" s="31"/>
      <c r="I106" s="32"/>
      <c r="J106" s="31"/>
      <c r="K106" s="31"/>
    </row>
    <row r="107" spans="3:11" x14ac:dyDescent="0.15">
      <c r="C107" s="33">
        <f t="shared" si="14"/>
        <v>19</v>
      </c>
      <c r="D107" s="2"/>
      <c r="E107" s="52"/>
      <c r="F107" s="34"/>
      <c r="H107" s="31"/>
      <c r="I107" s="32"/>
      <c r="J107" s="31"/>
      <c r="K107" s="31"/>
    </row>
    <row r="108" spans="3:11" x14ac:dyDescent="0.15">
      <c r="C108" s="33">
        <f>C107+1</f>
        <v>20</v>
      </c>
      <c r="D108" s="2"/>
      <c r="E108" s="52"/>
      <c r="F108" s="34"/>
      <c r="H108" s="31"/>
      <c r="I108" s="32"/>
      <c r="J108" s="31"/>
      <c r="K108" s="31"/>
    </row>
    <row r="109" spans="3:11" x14ac:dyDescent="0.15">
      <c r="C109" s="33">
        <f t="shared" si="14"/>
        <v>21</v>
      </c>
      <c r="D109" s="2"/>
      <c r="E109" s="52"/>
      <c r="F109" s="34"/>
      <c r="H109" s="31"/>
      <c r="I109" s="32"/>
      <c r="J109" s="31"/>
      <c r="K109" s="31"/>
    </row>
    <row r="110" spans="3:11" x14ac:dyDescent="0.15">
      <c r="C110" s="33">
        <f t="shared" si="14"/>
        <v>22</v>
      </c>
      <c r="D110" s="2"/>
      <c r="E110" s="52"/>
      <c r="F110" s="34"/>
      <c r="H110" s="31"/>
      <c r="I110" s="32"/>
      <c r="J110" s="31"/>
      <c r="K110" s="31"/>
    </row>
    <row r="111" spans="3:11" x14ac:dyDescent="0.15">
      <c r="C111" s="33">
        <f t="shared" si="14"/>
        <v>23</v>
      </c>
      <c r="D111" s="2"/>
      <c r="E111" s="52"/>
      <c r="F111" s="34"/>
      <c r="H111" s="31"/>
      <c r="I111" s="32"/>
      <c r="J111" s="31"/>
      <c r="K111" s="31"/>
    </row>
    <row r="112" spans="3:11" x14ac:dyDescent="0.15">
      <c r="C112" s="33">
        <f t="shared" si="14"/>
        <v>24</v>
      </c>
      <c r="D112" s="2"/>
      <c r="E112" s="52"/>
      <c r="F112" s="34"/>
      <c r="H112" s="31"/>
      <c r="I112" s="32"/>
      <c r="J112" s="31"/>
      <c r="K112" s="31"/>
    </row>
    <row r="113" spans="3:11" x14ac:dyDescent="0.15">
      <c r="C113" s="33">
        <f t="shared" si="14"/>
        <v>25</v>
      </c>
      <c r="D113" s="2"/>
      <c r="E113" s="52"/>
      <c r="F113" s="34"/>
      <c r="H113" s="31"/>
      <c r="I113" s="32"/>
      <c r="J113" s="31"/>
      <c r="K113" s="31"/>
    </row>
    <row r="114" spans="3:11" x14ac:dyDescent="0.15">
      <c r="C114" s="33">
        <f t="shared" si="14"/>
        <v>26</v>
      </c>
      <c r="D114" s="2"/>
      <c r="E114" s="52"/>
      <c r="F114" s="34"/>
      <c r="H114" s="31"/>
      <c r="I114" s="32"/>
      <c r="J114" s="31"/>
      <c r="K114" s="31"/>
    </row>
    <row r="115" spans="3:11" x14ac:dyDescent="0.15">
      <c r="C115" s="33">
        <f t="shared" si="14"/>
        <v>27</v>
      </c>
      <c r="D115" s="2"/>
      <c r="E115" s="53"/>
      <c r="F115" s="34"/>
      <c r="H115" s="31"/>
      <c r="I115" s="32"/>
      <c r="J115" s="31"/>
      <c r="K115" s="31"/>
    </row>
    <row r="116" spans="3:11" x14ac:dyDescent="0.15">
      <c r="C116" s="33">
        <f t="shared" si="14"/>
        <v>28</v>
      </c>
      <c r="D116" s="2"/>
      <c r="E116" s="53"/>
      <c r="F116" s="34"/>
      <c r="H116" s="31"/>
      <c r="I116" s="32"/>
      <c r="J116" s="31"/>
      <c r="K116" s="31"/>
    </row>
    <row r="117" spans="3:11" x14ac:dyDescent="0.15">
      <c r="C117" s="33">
        <f t="shared" si="14"/>
        <v>29</v>
      </c>
      <c r="D117" s="2"/>
      <c r="E117" s="53"/>
      <c r="F117" s="34"/>
      <c r="H117" s="31"/>
      <c r="I117" s="32"/>
      <c r="J117" s="31"/>
      <c r="K117" s="31"/>
    </row>
    <row r="118" spans="3:11" x14ac:dyDescent="0.15">
      <c r="C118" s="33">
        <f>C117+1</f>
        <v>30</v>
      </c>
      <c r="D118" s="2"/>
      <c r="E118" s="53"/>
      <c r="F118" s="34"/>
      <c r="H118" s="31"/>
      <c r="I118" s="32"/>
      <c r="J118" s="31"/>
      <c r="K118" s="31"/>
    </row>
    <row r="119" spans="3:11" x14ac:dyDescent="0.15">
      <c r="C119" s="33">
        <f t="shared" si="14"/>
        <v>31</v>
      </c>
      <c r="D119" s="2"/>
      <c r="E119" s="52"/>
      <c r="F119" s="34"/>
      <c r="H119" s="31"/>
      <c r="I119" s="32"/>
      <c r="J119" s="31"/>
      <c r="K119" s="31"/>
    </row>
    <row r="120" spans="3:11" x14ac:dyDescent="0.15">
      <c r="C120" s="33">
        <f>C119+1</f>
        <v>32</v>
      </c>
      <c r="D120" s="2"/>
      <c r="E120" s="52"/>
      <c r="F120" s="34"/>
      <c r="H120" s="31"/>
      <c r="I120" s="32"/>
      <c r="J120" s="31"/>
      <c r="K120" s="31"/>
    </row>
    <row r="121" spans="3:11" x14ac:dyDescent="0.15">
      <c r="C121" s="33">
        <f t="shared" si="14"/>
        <v>33</v>
      </c>
      <c r="D121" s="2"/>
      <c r="E121" s="52"/>
      <c r="F121" s="34"/>
      <c r="H121" s="31"/>
      <c r="I121" s="32"/>
      <c r="J121" s="31"/>
      <c r="K121" s="31"/>
    </row>
    <row r="122" spans="3:11" x14ac:dyDescent="0.15">
      <c r="C122" s="33">
        <f>C121+1</f>
        <v>34</v>
      </c>
      <c r="D122" s="2"/>
      <c r="E122" s="52"/>
      <c r="F122" s="34"/>
      <c r="H122" s="31"/>
      <c r="I122" s="32"/>
      <c r="J122" s="31"/>
      <c r="K122" s="31"/>
    </row>
    <row r="123" spans="3:11" x14ac:dyDescent="0.15">
      <c r="C123" s="33">
        <f t="shared" si="14"/>
        <v>35</v>
      </c>
      <c r="D123" s="2"/>
      <c r="E123" s="52"/>
      <c r="F123" s="34"/>
      <c r="H123" s="31"/>
      <c r="I123" s="32"/>
      <c r="J123" s="31"/>
      <c r="K123" s="31"/>
    </row>
    <row r="124" spans="3:11" x14ac:dyDescent="0.15">
      <c r="C124" s="33">
        <f>C123+1</f>
        <v>36</v>
      </c>
      <c r="D124" s="2"/>
      <c r="E124" s="52"/>
      <c r="F124" s="34"/>
      <c r="H124" s="31"/>
      <c r="I124" s="32"/>
      <c r="J124" s="31"/>
      <c r="K124" s="31"/>
    </row>
    <row r="125" spans="3:11" x14ac:dyDescent="0.15">
      <c r="C125" s="33">
        <f t="shared" si="14"/>
        <v>37</v>
      </c>
      <c r="D125" s="2"/>
      <c r="E125" s="52"/>
      <c r="F125" s="34"/>
      <c r="H125" s="31"/>
      <c r="I125" s="32"/>
      <c r="J125" s="31"/>
      <c r="K125" s="31"/>
    </row>
    <row r="126" spans="3:11" x14ac:dyDescent="0.15">
      <c r="C126" s="33">
        <f t="shared" si="14"/>
        <v>38</v>
      </c>
      <c r="D126" s="2"/>
      <c r="E126" s="52"/>
      <c r="F126" s="34"/>
      <c r="H126" s="31"/>
      <c r="I126" s="32"/>
      <c r="J126" s="31"/>
      <c r="K126" s="31"/>
    </row>
    <row r="127" spans="3:11" x14ac:dyDescent="0.15">
      <c r="C127" s="33">
        <f t="shared" si="14"/>
        <v>39</v>
      </c>
      <c r="D127" s="2"/>
      <c r="E127" s="52"/>
      <c r="F127" s="34"/>
      <c r="H127" s="31"/>
      <c r="I127" s="32"/>
      <c r="J127" s="31"/>
      <c r="K127" s="31"/>
    </row>
    <row r="128" spans="3:11" x14ac:dyDescent="0.15">
      <c r="C128" s="33">
        <f t="shared" si="14"/>
        <v>40</v>
      </c>
      <c r="D128" s="2"/>
      <c r="E128" s="52"/>
      <c r="F128" s="34"/>
      <c r="H128" s="31"/>
      <c r="I128" s="32"/>
      <c r="J128" s="31"/>
      <c r="K128" s="31"/>
    </row>
    <row r="129" spans="3:11" x14ac:dyDescent="0.15">
      <c r="C129" s="33">
        <f>C128+1</f>
        <v>41</v>
      </c>
      <c r="D129" s="2"/>
      <c r="E129" s="52"/>
      <c r="F129" s="34"/>
      <c r="H129" s="31"/>
      <c r="I129" s="32"/>
      <c r="J129" s="31"/>
      <c r="K129" s="31"/>
    </row>
    <row r="130" spans="3:11" x14ac:dyDescent="0.15">
      <c r="C130" s="33">
        <f t="shared" si="14"/>
        <v>42</v>
      </c>
      <c r="D130" s="2"/>
      <c r="E130" s="52"/>
      <c r="F130" s="34"/>
      <c r="H130" s="31"/>
      <c r="I130" s="32"/>
      <c r="J130" s="31"/>
      <c r="K130" s="31"/>
    </row>
    <row r="131" spans="3:11" x14ac:dyDescent="0.15">
      <c r="C131" s="33">
        <f>C130+1</f>
        <v>43</v>
      </c>
      <c r="D131" s="2"/>
      <c r="E131" s="53"/>
      <c r="F131" s="34"/>
      <c r="H131" s="31"/>
      <c r="I131" s="32"/>
      <c r="J131" s="31"/>
      <c r="K131" s="31"/>
    </row>
    <row r="132" spans="3:11" x14ac:dyDescent="0.15">
      <c r="C132" s="33">
        <f>C131+1</f>
        <v>44</v>
      </c>
      <c r="D132" s="2"/>
      <c r="E132" s="53"/>
      <c r="F132" s="34"/>
      <c r="H132" s="31"/>
      <c r="I132" s="32"/>
      <c r="J132" s="31"/>
      <c r="K132" s="31"/>
    </row>
    <row r="133" spans="3:11" x14ac:dyDescent="0.15">
      <c r="C133" s="33">
        <f t="shared" ref="C133:C196" si="15">C132+1</f>
        <v>45</v>
      </c>
      <c r="D133" s="2"/>
      <c r="E133" s="53"/>
      <c r="F133" s="34"/>
      <c r="H133" s="31"/>
      <c r="I133" s="32"/>
      <c r="J133" s="31"/>
      <c r="K133" s="31"/>
    </row>
    <row r="134" spans="3:11" x14ac:dyDescent="0.15">
      <c r="C134" s="33">
        <f t="shared" si="15"/>
        <v>46</v>
      </c>
      <c r="D134" s="2"/>
      <c r="E134" s="53"/>
      <c r="F134" s="34"/>
      <c r="H134" s="31"/>
      <c r="I134" s="32"/>
      <c r="J134" s="31"/>
      <c r="K134" s="31"/>
    </row>
    <row r="135" spans="3:11" x14ac:dyDescent="0.15">
      <c r="C135" s="33">
        <f t="shared" si="15"/>
        <v>47</v>
      </c>
      <c r="D135" s="2"/>
      <c r="E135" s="53"/>
      <c r="F135" s="34"/>
      <c r="H135" s="31"/>
      <c r="I135" s="32"/>
      <c r="J135" s="31"/>
      <c r="K135" s="31"/>
    </row>
    <row r="136" spans="3:11" x14ac:dyDescent="0.15">
      <c r="C136" s="33">
        <f t="shared" si="15"/>
        <v>48</v>
      </c>
      <c r="D136" s="2"/>
      <c r="E136" s="53"/>
      <c r="F136" s="34"/>
      <c r="H136" s="31"/>
      <c r="I136" s="32"/>
      <c r="J136" s="31"/>
      <c r="K136" s="31"/>
    </row>
    <row r="137" spans="3:11" x14ac:dyDescent="0.15">
      <c r="C137" s="33">
        <f t="shared" si="15"/>
        <v>49</v>
      </c>
      <c r="D137" s="2"/>
      <c r="E137" s="53"/>
      <c r="F137" s="34"/>
      <c r="H137" s="31"/>
      <c r="I137" s="32"/>
      <c r="J137" s="31"/>
      <c r="K137" s="31"/>
    </row>
    <row r="138" spans="3:11" x14ac:dyDescent="0.15">
      <c r="C138" s="33">
        <f t="shared" si="15"/>
        <v>50</v>
      </c>
      <c r="D138" s="2"/>
      <c r="E138" s="53"/>
      <c r="F138" s="34"/>
      <c r="H138" s="31"/>
      <c r="I138" s="32"/>
      <c r="J138" s="31"/>
      <c r="K138" s="31"/>
    </row>
    <row r="139" spans="3:11" x14ac:dyDescent="0.15">
      <c r="C139" s="33">
        <f>C138+1</f>
        <v>51</v>
      </c>
      <c r="D139" s="2"/>
      <c r="E139" s="53"/>
      <c r="F139" s="34"/>
      <c r="H139" s="31"/>
      <c r="I139" s="32"/>
      <c r="J139" s="31"/>
      <c r="K139" s="31"/>
    </row>
    <row r="140" spans="3:11" x14ac:dyDescent="0.15">
      <c r="C140" s="33">
        <f t="shared" si="15"/>
        <v>52</v>
      </c>
      <c r="D140" s="2"/>
      <c r="E140" s="53"/>
      <c r="F140" s="34"/>
      <c r="H140" s="31"/>
      <c r="I140" s="32"/>
      <c r="J140" s="31"/>
      <c r="K140" s="31"/>
    </row>
    <row r="141" spans="3:11" x14ac:dyDescent="0.15">
      <c r="C141" s="33">
        <f t="shared" si="15"/>
        <v>53</v>
      </c>
      <c r="D141" s="2"/>
      <c r="E141" s="53"/>
      <c r="F141" s="34"/>
      <c r="H141" s="31"/>
      <c r="I141" s="32"/>
      <c r="J141" s="31"/>
      <c r="K141" s="31"/>
    </row>
    <row r="142" spans="3:11" x14ac:dyDescent="0.15">
      <c r="C142" s="33">
        <f t="shared" si="15"/>
        <v>54</v>
      </c>
      <c r="D142" s="40"/>
      <c r="E142" s="53"/>
      <c r="F142" s="34"/>
      <c r="H142" s="31"/>
      <c r="I142" s="32"/>
      <c r="J142" s="31"/>
      <c r="K142" s="31"/>
    </row>
    <row r="143" spans="3:11" x14ac:dyDescent="0.15">
      <c r="C143" s="33">
        <f t="shared" si="15"/>
        <v>55</v>
      </c>
      <c r="D143" s="40"/>
      <c r="E143" s="53"/>
      <c r="F143" s="34"/>
      <c r="H143" s="31"/>
      <c r="I143" s="32"/>
      <c r="J143" s="31"/>
      <c r="K143" s="31"/>
    </row>
    <row r="144" spans="3:11" x14ac:dyDescent="0.15">
      <c r="C144" s="33">
        <f t="shared" si="15"/>
        <v>56</v>
      </c>
      <c r="D144" s="40"/>
      <c r="E144" s="53"/>
      <c r="F144" s="34"/>
      <c r="H144" s="31"/>
      <c r="I144" s="32"/>
      <c r="J144" s="31"/>
      <c r="K144" s="31"/>
    </row>
    <row r="145" spans="3:11" x14ac:dyDescent="0.15">
      <c r="C145" s="33">
        <f t="shared" si="15"/>
        <v>57</v>
      </c>
      <c r="D145" s="40"/>
      <c r="E145" s="53"/>
      <c r="F145" s="34"/>
      <c r="H145" s="31"/>
      <c r="I145" s="32"/>
      <c r="J145" s="31"/>
      <c r="K145" s="31"/>
    </row>
    <row r="146" spans="3:11" x14ac:dyDescent="0.15">
      <c r="C146" s="33">
        <f t="shared" si="15"/>
        <v>58</v>
      </c>
      <c r="D146" s="2"/>
      <c r="E146" s="53"/>
      <c r="F146" s="34"/>
      <c r="H146" s="31"/>
      <c r="I146" s="32"/>
      <c r="J146" s="31"/>
      <c r="K146" s="31"/>
    </row>
    <row r="147" spans="3:11" x14ac:dyDescent="0.15">
      <c r="C147" s="33">
        <f t="shared" si="15"/>
        <v>59</v>
      </c>
      <c r="D147" s="2"/>
      <c r="E147" s="53"/>
      <c r="F147" s="34"/>
      <c r="H147" s="31"/>
      <c r="I147" s="32"/>
      <c r="J147" s="31"/>
      <c r="K147" s="31"/>
    </row>
    <row r="148" spans="3:11" x14ac:dyDescent="0.15">
      <c r="C148" s="33">
        <f t="shared" si="15"/>
        <v>60</v>
      </c>
      <c r="D148" s="2"/>
      <c r="E148" s="52"/>
      <c r="F148" s="34"/>
      <c r="H148" s="31"/>
      <c r="I148" s="32"/>
      <c r="J148" s="31"/>
      <c r="K148" s="31"/>
    </row>
    <row r="149" spans="3:11" x14ac:dyDescent="0.15">
      <c r="C149" s="33">
        <f t="shared" si="15"/>
        <v>61</v>
      </c>
      <c r="D149" s="2"/>
      <c r="E149" s="52"/>
      <c r="F149" s="34"/>
      <c r="H149" s="31"/>
      <c r="I149" s="32"/>
      <c r="J149" s="31"/>
      <c r="K149" s="31"/>
    </row>
    <row r="150" spans="3:11" x14ac:dyDescent="0.15">
      <c r="C150" s="33">
        <f t="shared" si="15"/>
        <v>62</v>
      </c>
      <c r="D150" s="2"/>
      <c r="E150" s="52"/>
      <c r="F150" s="34"/>
      <c r="H150" s="31"/>
      <c r="I150" s="32"/>
      <c r="J150" s="31"/>
      <c r="K150" s="31"/>
    </row>
    <row r="151" spans="3:11" x14ac:dyDescent="0.15">
      <c r="C151" s="33">
        <f t="shared" si="15"/>
        <v>63</v>
      </c>
      <c r="D151" s="2"/>
      <c r="E151" s="52"/>
      <c r="F151" s="34"/>
      <c r="H151" s="31"/>
      <c r="I151" s="32"/>
      <c r="J151" s="31"/>
      <c r="K151" s="31"/>
    </row>
    <row r="152" spans="3:11" x14ac:dyDescent="0.15">
      <c r="C152" s="33">
        <f t="shared" si="15"/>
        <v>64</v>
      </c>
      <c r="D152" s="2"/>
      <c r="E152" s="52"/>
      <c r="F152" s="34"/>
      <c r="H152" s="31"/>
      <c r="I152" s="32"/>
      <c r="J152" s="31"/>
      <c r="K152" s="31"/>
    </row>
    <row r="153" spans="3:11" x14ac:dyDescent="0.15">
      <c r="C153" s="33">
        <f t="shared" si="15"/>
        <v>65</v>
      </c>
      <c r="D153" s="2"/>
      <c r="E153" s="52"/>
      <c r="F153" s="34"/>
      <c r="H153" s="31"/>
      <c r="I153" s="32"/>
      <c r="J153" s="31"/>
      <c r="K153" s="31"/>
    </row>
    <row r="154" spans="3:11" x14ac:dyDescent="0.15">
      <c r="C154" s="33">
        <f t="shared" si="15"/>
        <v>66</v>
      </c>
      <c r="D154" s="2"/>
      <c r="E154" s="52"/>
      <c r="F154" s="34"/>
      <c r="H154" s="31"/>
      <c r="I154" s="32"/>
      <c r="J154" s="31"/>
      <c r="K154" s="31"/>
    </row>
    <row r="155" spans="3:11" x14ac:dyDescent="0.15">
      <c r="C155" s="33">
        <f t="shared" si="15"/>
        <v>67</v>
      </c>
      <c r="D155" s="2"/>
      <c r="E155" s="53"/>
      <c r="F155" s="34"/>
      <c r="H155" s="31"/>
      <c r="I155" s="32"/>
      <c r="J155" s="31"/>
      <c r="K155" s="31"/>
    </row>
    <row r="156" spans="3:11" x14ac:dyDescent="0.15">
      <c r="C156" s="33">
        <f t="shared" si="15"/>
        <v>68</v>
      </c>
      <c r="D156" s="2"/>
      <c r="E156" s="53"/>
      <c r="F156" s="34"/>
      <c r="H156" s="31"/>
      <c r="I156" s="32"/>
      <c r="J156" s="31"/>
      <c r="K156" s="31"/>
    </row>
    <row r="157" spans="3:11" x14ac:dyDescent="0.15">
      <c r="C157" s="33">
        <f t="shared" si="15"/>
        <v>69</v>
      </c>
      <c r="D157" s="2"/>
      <c r="E157" s="53"/>
      <c r="F157" s="34"/>
      <c r="H157" s="31"/>
      <c r="I157" s="32"/>
      <c r="J157" s="31"/>
      <c r="K157" s="31"/>
    </row>
    <row r="158" spans="3:11" x14ac:dyDescent="0.15">
      <c r="C158" s="33">
        <f t="shared" si="15"/>
        <v>70</v>
      </c>
      <c r="D158" s="2"/>
      <c r="E158" s="53"/>
      <c r="F158" s="34"/>
      <c r="H158" s="31"/>
      <c r="I158" s="32"/>
      <c r="J158" s="31"/>
      <c r="K158" s="31"/>
    </row>
    <row r="159" spans="3:11" x14ac:dyDescent="0.15">
      <c r="C159" s="33">
        <f t="shared" si="15"/>
        <v>71</v>
      </c>
      <c r="D159" s="2"/>
      <c r="E159" s="53"/>
      <c r="F159" s="34"/>
      <c r="H159" s="31"/>
      <c r="I159" s="32"/>
      <c r="J159" s="31"/>
      <c r="K159" s="31"/>
    </row>
    <row r="160" spans="3:11" x14ac:dyDescent="0.15">
      <c r="C160" s="33">
        <f t="shared" si="15"/>
        <v>72</v>
      </c>
      <c r="D160" s="2"/>
      <c r="E160" s="53"/>
      <c r="F160" s="34"/>
      <c r="H160" s="31"/>
      <c r="I160" s="32"/>
      <c r="J160" s="31"/>
      <c r="K160" s="31"/>
    </row>
    <row r="161" spans="3:11" x14ac:dyDescent="0.15">
      <c r="C161" s="33">
        <f t="shared" si="15"/>
        <v>73</v>
      </c>
      <c r="D161" s="2"/>
      <c r="E161" s="53"/>
      <c r="F161" s="34"/>
      <c r="H161" s="31"/>
      <c r="I161" s="32"/>
      <c r="J161" s="31"/>
      <c r="K161" s="31"/>
    </row>
    <row r="162" spans="3:11" x14ac:dyDescent="0.15">
      <c r="C162" s="33">
        <f t="shared" si="15"/>
        <v>74</v>
      </c>
      <c r="D162" s="2"/>
      <c r="E162" s="52"/>
      <c r="F162" s="34"/>
      <c r="H162" s="31"/>
      <c r="I162" s="32"/>
      <c r="J162" s="31"/>
      <c r="K162" s="31"/>
    </row>
    <row r="163" spans="3:11" x14ac:dyDescent="0.15">
      <c r="C163" s="33">
        <f t="shared" si="15"/>
        <v>75</v>
      </c>
      <c r="D163" s="2"/>
      <c r="E163" s="52"/>
      <c r="F163" s="34"/>
      <c r="H163" s="31"/>
      <c r="I163" s="32"/>
      <c r="J163" s="31"/>
      <c r="K163" s="31"/>
    </row>
    <row r="164" spans="3:11" x14ac:dyDescent="0.15">
      <c r="C164" s="33">
        <f t="shared" si="15"/>
        <v>76</v>
      </c>
      <c r="D164" s="2"/>
      <c r="E164" s="52"/>
      <c r="F164" s="34"/>
      <c r="H164" s="31"/>
      <c r="I164" s="32"/>
      <c r="J164" s="31"/>
      <c r="K164" s="31"/>
    </row>
    <row r="165" spans="3:11" x14ac:dyDescent="0.15">
      <c r="C165" s="33">
        <f t="shared" si="15"/>
        <v>77</v>
      </c>
      <c r="D165" s="2"/>
      <c r="E165" s="53"/>
      <c r="F165" s="34"/>
      <c r="H165" s="31"/>
      <c r="I165" s="32"/>
      <c r="J165" s="31"/>
      <c r="K165" s="31"/>
    </row>
    <row r="166" spans="3:11" x14ac:dyDescent="0.15">
      <c r="C166" s="33">
        <f t="shared" si="15"/>
        <v>78</v>
      </c>
      <c r="D166" s="2"/>
      <c r="E166" s="53"/>
      <c r="F166" s="34"/>
      <c r="H166" s="31"/>
      <c r="I166" s="32"/>
      <c r="J166" s="31"/>
      <c r="K166" s="31"/>
    </row>
    <row r="167" spans="3:11" x14ac:dyDescent="0.15">
      <c r="C167" s="33">
        <f t="shared" si="15"/>
        <v>79</v>
      </c>
      <c r="D167" s="2"/>
      <c r="E167" s="53"/>
      <c r="F167" s="34"/>
      <c r="H167" s="31"/>
      <c r="I167" s="32"/>
      <c r="J167" s="31"/>
      <c r="K167" s="31"/>
    </row>
    <row r="168" spans="3:11" x14ac:dyDescent="0.15">
      <c r="C168" s="33">
        <f t="shared" si="15"/>
        <v>80</v>
      </c>
      <c r="D168" s="2"/>
      <c r="E168" s="53"/>
      <c r="F168" s="34"/>
      <c r="H168" s="31"/>
      <c r="I168" s="32"/>
      <c r="J168" s="31"/>
      <c r="K168" s="31"/>
    </row>
    <row r="169" spans="3:11" x14ac:dyDescent="0.15">
      <c r="C169" s="33">
        <f t="shared" si="15"/>
        <v>81</v>
      </c>
      <c r="D169" s="2"/>
      <c r="E169" s="53"/>
      <c r="F169" s="34"/>
      <c r="H169" s="31"/>
      <c r="I169" s="32"/>
      <c r="J169" s="31"/>
      <c r="K169" s="31"/>
    </row>
    <row r="170" spans="3:11" x14ac:dyDescent="0.15">
      <c r="C170" s="33">
        <f t="shared" si="15"/>
        <v>82</v>
      </c>
      <c r="D170" s="2"/>
      <c r="E170" s="53"/>
      <c r="F170" s="34"/>
      <c r="H170" s="31"/>
      <c r="I170" s="32"/>
      <c r="J170" s="31"/>
      <c r="K170" s="31"/>
    </row>
    <row r="171" spans="3:11" x14ac:dyDescent="0.15">
      <c r="C171" s="33">
        <f t="shared" si="15"/>
        <v>83</v>
      </c>
      <c r="D171" s="2"/>
      <c r="E171" s="53"/>
      <c r="F171" s="34"/>
      <c r="H171" s="31"/>
      <c r="I171" s="32"/>
      <c r="J171" s="31"/>
      <c r="K171" s="31"/>
    </row>
    <row r="172" spans="3:11" x14ac:dyDescent="0.15">
      <c r="C172" s="33">
        <f t="shared" si="15"/>
        <v>84</v>
      </c>
      <c r="D172" s="2"/>
      <c r="E172" s="52"/>
      <c r="F172" s="34"/>
      <c r="H172" s="31"/>
      <c r="I172" s="32"/>
      <c r="J172" s="31"/>
      <c r="K172" s="31"/>
    </row>
    <row r="173" spans="3:11" x14ac:dyDescent="0.15">
      <c r="C173" s="33">
        <f t="shared" si="15"/>
        <v>85</v>
      </c>
      <c r="D173" s="2"/>
      <c r="E173" s="52"/>
      <c r="F173" s="34"/>
      <c r="H173" s="31"/>
      <c r="I173" s="32"/>
      <c r="J173" s="31"/>
      <c r="K173" s="31"/>
    </row>
    <row r="174" spans="3:11" x14ac:dyDescent="0.15">
      <c r="C174" s="33">
        <f t="shared" si="15"/>
        <v>86</v>
      </c>
      <c r="D174" s="2"/>
      <c r="E174" s="52"/>
      <c r="F174" s="34"/>
      <c r="H174" s="31"/>
      <c r="I174" s="32"/>
      <c r="J174" s="31"/>
      <c r="K174" s="31"/>
    </row>
    <row r="175" spans="3:11" x14ac:dyDescent="0.15">
      <c r="C175" s="33">
        <f t="shared" si="15"/>
        <v>87</v>
      </c>
      <c r="D175" s="2"/>
      <c r="E175" s="52"/>
      <c r="F175" s="34"/>
      <c r="H175" s="31"/>
      <c r="I175" s="32"/>
      <c r="J175" s="31"/>
      <c r="K175" s="31"/>
    </row>
    <row r="176" spans="3:11" x14ac:dyDescent="0.15">
      <c r="C176" s="33">
        <f t="shared" si="15"/>
        <v>88</v>
      </c>
      <c r="D176" s="2"/>
      <c r="E176" s="52"/>
      <c r="F176" s="34"/>
      <c r="H176" s="31"/>
      <c r="I176" s="32"/>
      <c r="J176" s="31"/>
      <c r="K176" s="31"/>
    </row>
    <row r="177" spans="3:13" x14ac:dyDescent="0.15">
      <c r="C177" s="33">
        <f t="shared" si="15"/>
        <v>89</v>
      </c>
      <c r="D177" s="2"/>
      <c r="E177" s="52"/>
      <c r="F177" s="34"/>
      <c r="H177" s="31"/>
      <c r="I177" s="32"/>
      <c r="J177" s="31"/>
      <c r="K177" s="31"/>
    </row>
    <row r="178" spans="3:13" x14ac:dyDescent="0.15">
      <c r="C178" s="33">
        <f t="shared" si="15"/>
        <v>90</v>
      </c>
      <c r="D178" s="2"/>
      <c r="E178" s="52"/>
      <c r="F178" s="34"/>
      <c r="H178" s="31"/>
      <c r="I178" s="32"/>
      <c r="J178" s="31"/>
      <c r="K178" s="31"/>
    </row>
    <row r="179" spans="3:13" x14ac:dyDescent="0.15">
      <c r="C179" s="33">
        <f t="shared" si="15"/>
        <v>91</v>
      </c>
      <c r="D179" s="2"/>
      <c r="E179" s="52"/>
      <c r="F179" s="34"/>
      <c r="H179" s="31"/>
      <c r="I179" s="32"/>
      <c r="J179" s="31"/>
      <c r="K179" s="31"/>
    </row>
    <row r="180" spans="3:13" x14ac:dyDescent="0.15">
      <c r="C180" s="33">
        <f t="shared" si="15"/>
        <v>92</v>
      </c>
      <c r="D180" s="2"/>
      <c r="E180" s="52"/>
      <c r="F180" s="34"/>
      <c r="H180" s="31"/>
      <c r="I180" s="32"/>
      <c r="J180" s="31"/>
      <c r="K180" s="31"/>
    </row>
    <row r="181" spans="3:13" x14ac:dyDescent="0.15">
      <c r="C181" s="33">
        <f t="shared" si="15"/>
        <v>93</v>
      </c>
      <c r="D181" s="2"/>
      <c r="E181" s="52"/>
      <c r="F181" s="34"/>
      <c r="H181" s="31"/>
      <c r="I181" s="32"/>
      <c r="J181" s="31"/>
      <c r="K181" s="31"/>
    </row>
    <row r="182" spans="3:13" x14ac:dyDescent="0.15">
      <c r="C182" s="33">
        <f t="shared" si="15"/>
        <v>94</v>
      </c>
      <c r="D182" s="2"/>
      <c r="E182" s="52"/>
      <c r="F182" s="34"/>
      <c r="H182" s="31"/>
      <c r="I182" s="32"/>
      <c r="J182" s="31"/>
      <c r="K182" s="31"/>
    </row>
    <row r="183" spans="3:13" x14ac:dyDescent="0.15">
      <c r="C183" s="33">
        <f t="shared" si="15"/>
        <v>95</v>
      </c>
      <c r="D183" s="2"/>
      <c r="E183" s="52"/>
      <c r="F183" s="34"/>
      <c r="H183" s="31"/>
      <c r="I183" s="32"/>
      <c r="J183" s="31"/>
      <c r="K183" s="31"/>
    </row>
    <row r="184" spans="3:13" x14ac:dyDescent="0.15">
      <c r="C184" s="33">
        <f t="shared" si="15"/>
        <v>96</v>
      </c>
      <c r="D184" s="2"/>
      <c r="E184" s="53"/>
      <c r="F184" s="34"/>
      <c r="H184" s="31"/>
      <c r="I184" s="32"/>
      <c r="J184" s="31"/>
      <c r="K184" s="31"/>
    </row>
    <row r="185" spans="3:13" x14ac:dyDescent="0.15">
      <c r="C185" s="33">
        <f t="shared" si="15"/>
        <v>97</v>
      </c>
      <c r="D185" s="2"/>
      <c r="E185" s="53"/>
      <c r="F185" s="34"/>
      <c r="H185" s="31"/>
      <c r="I185" s="32"/>
      <c r="J185" s="31"/>
      <c r="K185" s="31"/>
    </row>
    <row r="186" spans="3:13" x14ac:dyDescent="0.15">
      <c r="C186" s="33">
        <f t="shared" si="15"/>
        <v>98</v>
      </c>
      <c r="D186" s="2"/>
      <c r="E186" s="53"/>
      <c r="F186" s="34"/>
      <c r="H186" s="31"/>
      <c r="I186" s="32"/>
      <c r="J186" s="31"/>
      <c r="K186" s="31"/>
    </row>
    <row r="187" spans="3:13" x14ac:dyDescent="0.15">
      <c r="C187" s="33">
        <f t="shared" si="15"/>
        <v>99</v>
      </c>
      <c r="D187" s="2"/>
      <c r="E187" s="53"/>
      <c r="F187" s="34"/>
      <c r="H187" s="31"/>
      <c r="I187" s="32"/>
      <c r="J187" s="31"/>
      <c r="K187" s="31"/>
    </row>
    <row r="188" spans="3:13" x14ac:dyDescent="0.15">
      <c r="C188" s="33">
        <f t="shared" si="15"/>
        <v>100</v>
      </c>
      <c r="D188" s="2"/>
      <c r="E188" s="53"/>
      <c r="F188" s="34"/>
      <c r="H188" s="31"/>
      <c r="I188" s="32"/>
      <c r="J188" s="31"/>
      <c r="K188" s="31"/>
    </row>
    <row r="189" spans="3:13" x14ac:dyDescent="0.15">
      <c r="C189" s="33">
        <f t="shared" si="15"/>
        <v>101</v>
      </c>
      <c r="D189" s="2"/>
      <c r="E189" s="53"/>
      <c r="F189" s="34"/>
      <c r="H189" s="31"/>
      <c r="I189" s="32"/>
      <c r="J189" s="31"/>
      <c r="K189" s="31"/>
      <c r="L189" s="37"/>
      <c r="M189" s="38"/>
    </row>
    <row r="190" spans="3:13" x14ac:dyDescent="0.15">
      <c r="C190" s="33">
        <f t="shared" si="15"/>
        <v>102</v>
      </c>
      <c r="D190" s="2"/>
      <c r="E190" s="53"/>
      <c r="F190" s="34"/>
      <c r="H190" s="31"/>
      <c r="I190" s="32"/>
      <c r="J190" s="31"/>
      <c r="K190" s="31"/>
    </row>
    <row r="191" spans="3:13" x14ac:dyDescent="0.15">
      <c r="C191" s="33">
        <f t="shared" si="15"/>
        <v>103</v>
      </c>
      <c r="D191" s="2"/>
      <c r="E191" s="53"/>
      <c r="F191" s="34"/>
      <c r="H191" s="31"/>
      <c r="I191" s="32"/>
      <c r="J191" s="31"/>
      <c r="K191" s="31"/>
    </row>
    <row r="192" spans="3:13" x14ac:dyDescent="0.15">
      <c r="C192" s="33">
        <f t="shared" si="15"/>
        <v>104</v>
      </c>
      <c r="D192" s="2"/>
      <c r="E192" s="53"/>
      <c r="F192" s="34"/>
      <c r="H192" s="31"/>
      <c r="I192" s="32"/>
      <c r="J192" s="31"/>
      <c r="K192" s="31"/>
    </row>
    <row r="193" spans="3:11" x14ac:dyDescent="0.15">
      <c r="C193" s="33">
        <f t="shared" si="15"/>
        <v>105</v>
      </c>
      <c r="D193" s="2"/>
      <c r="E193" s="53"/>
      <c r="F193" s="34"/>
      <c r="H193" s="31"/>
      <c r="I193" s="32"/>
      <c r="J193" s="31"/>
      <c r="K193" s="31"/>
    </row>
    <row r="194" spans="3:11" x14ac:dyDescent="0.15">
      <c r="C194" s="33">
        <f t="shared" si="15"/>
        <v>106</v>
      </c>
      <c r="D194" s="2"/>
      <c r="E194" s="53"/>
      <c r="F194" s="34"/>
      <c r="H194" s="31"/>
      <c r="I194" s="32"/>
      <c r="J194" s="31"/>
      <c r="K194" s="31"/>
    </row>
    <row r="195" spans="3:11" x14ac:dyDescent="0.15">
      <c r="C195" s="33">
        <f t="shared" si="15"/>
        <v>107</v>
      </c>
      <c r="D195" s="2"/>
      <c r="E195" s="53"/>
      <c r="F195" s="34"/>
      <c r="H195" s="31"/>
      <c r="I195" s="32"/>
      <c r="J195" s="31"/>
      <c r="K195" s="31"/>
    </row>
    <row r="196" spans="3:11" x14ac:dyDescent="0.15">
      <c r="C196" s="33">
        <f t="shared" si="15"/>
        <v>108</v>
      </c>
      <c r="D196" s="2"/>
      <c r="E196" s="54"/>
      <c r="F196" s="36"/>
      <c r="H196" s="31"/>
      <c r="I196" s="32"/>
      <c r="J196" s="31"/>
      <c r="K196" s="31"/>
    </row>
    <row r="197" spans="3:11" x14ac:dyDescent="0.15">
      <c r="C197" s="33">
        <f t="shared" ref="C197:C220" si="16">C196+1</f>
        <v>109</v>
      </c>
      <c r="D197" s="2"/>
      <c r="E197" s="53"/>
      <c r="F197" s="36"/>
      <c r="H197" s="31"/>
      <c r="I197" s="32"/>
      <c r="J197" s="31"/>
      <c r="K197" s="31"/>
    </row>
    <row r="198" spans="3:11" x14ac:dyDescent="0.15">
      <c r="C198" s="33">
        <f t="shared" si="16"/>
        <v>110</v>
      </c>
      <c r="D198" s="2"/>
      <c r="E198" s="54"/>
      <c r="F198" s="36"/>
      <c r="H198" s="31"/>
      <c r="I198" s="32"/>
      <c r="J198" s="31"/>
      <c r="K198" s="31"/>
    </row>
    <row r="199" spans="3:11" x14ac:dyDescent="0.15">
      <c r="C199" s="33">
        <f t="shared" si="16"/>
        <v>111</v>
      </c>
      <c r="D199" s="2"/>
      <c r="E199" s="54"/>
      <c r="F199" s="36"/>
      <c r="H199" s="31"/>
      <c r="I199" s="32"/>
      <c r="J199" s="31"/>
      <c r="K199" s="31"/>
    </row>
    <row r="200" spans="3:11" x14ac:dyDescent="0.15">
      <c r="C200" s="33">
        <f t="shared" si="16"/>
        <v>112</v>
      </c>
      <c r="D200" s="2"/>
      <c r="E200" s="54"/>
      <c r="F200" s="36"/>
      <c r="H200" s="31"/>
      <c r="I200" s="32"/>
      <c r="J200" s="31"/>
      <c r="K200" s="31"/>
    </row>
    <row r="201" spans="3:11" x14ac:dyDescent="0.15">
      <c r="C201" s="33">
        <f t="shared" si="16"/>
        <v>113</v>
      </c>
      <c r="D201" s="2"/>
      <c r="E201" s="54"/>
      <c r="F201" s="36"/>
      <c r="H201" s="31"/>
      <c r="I201" s="32"/>
      <c r="J201" s="31"/>
      <c r="K201" s="31"/>
    </row>
    <row r="202" spans="3:11" x14ac:dyDescent="0.15">
      <c r="C202" s="33">
        <f t="shared" si="16"/>
        <v>114</v>
      </c>
      <c r="D202" s="2"/>
      <c r="E202" s="54"/>
      <c r="F202" s="36"/>
      <c r="H202" s="31"/>
      <c r="I202" s="32"/>
      <c r="J202" s="31"/>
      <c r="K202" s="31"/>
    </row>
    <row r="203" spans="3:11" x14ac:dyDescent="0.15">
      <c r="C203" s="33">
        <f t="shared" si="16"/>
        <v>115</v>
      </c>
      <c r="D203" s="2"/>
      <c r="E203" s="54"/>
      <c r="F203" s="36"/>
      <c r="H203" s="31"/>
      <c r="I203" s="32"/>
      <c r="J203" s="31"/>
      <c r="K203" s="31"/>
    </row>
    <row r="204" spans="3:11" x14ac:dyDescent="0.15">
      <c r="C204" s="33">
        <f t="shared" si="16"/>
        <v>116</v>
      </c>
      <c r="D204" s="2"/>
      <c r="E204" s="54"/>
      <c r="F204" s="36"/>
      <c r="H204" s="31"/>
      <c r="I204" s="32"/>
      <c r="J204" s="31"/>
      <c r="K204" s="31"/>
    </row>
    <row r="205" spans="3:11" x14ac:dyDescent="0.15">
      <c r="C205" s="33">
        <f t="shared" si="16"/>
        <v>117</v>
      </c>
      <c r="D205" s="2"/>
      <c r="E205" s="54"/>
      <c r="F205" s="36"/>
      <c r="H205" s="31"/>
      <c r="I205" s="32"/>
      <c r="J205" s="31"/>
      <c r="K205" s="31"/>
    </row>
    <row r="206" spans="3:11" x14ac:dyDescent="0.15">
      <c r="C206" s="33">
        <f t="shared" si="16"/>
        <v>118</v>
      </c>
      <c r="D206" s="2"/>
      <c r="E206" s="54"/>
      <c r="F206" s="36"/>
      <c r="H206" s="31"/>
      <c r="I206" s="32"/>
      <c r="J206" s="31"/>
      <c r="K206" s="31"/>
    </row>
    <row r="207" spans="3:11" x14ac:dyDescent="0.15">
      <c r="C207" s="33">
        <f t="shared" si="16"/>
        <v>119</v>
      </c>
      <c r="D207" s="2"/>
      <c r="E207" s="53"/>
      <c r="F207" s="34"/>
      <c r="H207" s="31"/>
      <c r="I207" s="32"/>
      <c r="J207" s="31"/>
      <c r="K207" s="31"/>
    </row>
    <row r="208" spans="3:11" x14ac:dyDescent="0.15">
      <c r="C208" s="33">
        <f t="shared" si="16"/>
        <v>120</v>
      </c>
      <c r="D208" s="2"/>
      <c r="E208" s="53"/>
      <c r="F208" s="36"/>
      <c r="H208" s="31"/>
      <c r="I208" s="32"/>
      <c r="J208" s="31"/>
      <c r="K208" s="31"/>
    </row>
    <row r="209" spans="3:11" x14ac:dyDescent="0.15">
      <c r="C209" s="33">
        <f t="shared" si="16"/>
        <v>121</v>
      </c>
      <c r="D209" s="2"/>
      <c r="E209" s="53"/>
      <c r="F209" s="34"/>
      <c r="H209" s="31"/>
      <c r="I209" s="32"/>
      <c r="J209" s="31"/>
      <c r="K209" s="31"/>
    </row>
    <row r="210" spans="3:11" x14ac:dyDescent="0.15">
      <c r="C210" s="33">
        <f t="shared" si="16"/>
        <v>122</v>
      </c>
      <c r="D210" s="2"/>
      <c r="E210" s="54"/>
      <c r="F210" s="34"/>
      <c r="H210" s="31"/>
      <c r="I210" s="32"/>
      <c r="J210" s="31"/>
      <c r="K210" s="31"/>
    </row>
    <row r="211" spans="3:11" x14ac:dyDescent="0.15">
      <c r="C211" s="33">
        <f t="shared" si="16"/>
        <v>123</v>
      </c>
      <c r="D211" s="2"/>
      <c r="E211" s="54"/>
      <c r="F211" s="39"/>
      <c r="H211" s="31"/>
      <c r="I211" s="32"/>
      <c r="J211" s="31"/>
      <c r="K211" s="31"/>
    </row>
    <row r="212" spans="3:11" x14ac:dyDescent="0.15">
      <c r="C212" s="33">
        <f t="shared" si="16"/>
        <v>124</v>
      </c>
      <c r="D212" s="2"/>
      <c r="E212" s="54"/>
      <c r="F212" s="34"/>
      <c r="H212" s="31"/>
      <c r="I212" s="32"/>
      <c r="J212" s="31"/>
      <c r="K212" s="31"/>
    </row>
    <row r="213" spans="3:11" x14ac:dyDescent="0.15">
      <c r="C213" s="33">
        <f t="shared" si="16"/>
        <v>125</v>
      </c>
      <c r="D213" s="2"/>
      <c r="E213" s="53"/>
      <c r="F213" s="39"/>
      <c r="H213" s="31"/>
      <c r="I213" s="32"/>
      <c r="J213" s="31"/>
      <c r="K213" s="31"/>
    </row>
    <row r="214" spans="3:11" x14ac:dyDescent="0.15">
      <c r="C214" s="33">
        <f t="shared" si="16"/>
        <v>126</v>
      </c>
      <c r="D214" s="2"/>
      <c r="E214" s="53"/>
      <c r="F214" s="39"/>
      <c r="H214" s="31"/>
      <c r="I214" s="32"/>
      <c r="J214" s="31"/>
      <c r="K214" s="31"/>
    </row>
    <row r="215" spans="3:11" x14ac:dyDescent="0.15">
      <c r="C215" s="33">
        <f t="shared" si="16"/>
        <v>127</v>
      </c>
      <c r="D215" s="2"/>
      <c r="E215" s="53"/>
      <c r="F215" s="39"/>
      <c r="H215" s="31"/>
      <c r="I215" s="32"/>
      <c r="J215" s="31"/>
      <c r="K215" s="31"/>
    </row>
    <row r="216" spans="3:11" x14ac:dyDescent="0.15">
      <c r="C216" s="33">
        <f t="shared" si="16"/>
        <v>128</v>
      </c>
      <c r="D216" s="2"/>
      <c r="E216" s="53"/>
      <c r="F216" s="34"/>
      <c r="H216" s="31"/>
      <c r="I216" s="32"/>
      <c r="J216" s="31"/>
      <c r="K216" s="31"/>
    </row>
    <row r="217" spans="3:11" x14ac:dyDescent="0.15">
      <c r="C217" s="33">
        <f t="shared" si="16"/>
        <v>129</v>
      </c>
      <c r="D217" s="2"/>
      <c r="E217" s="53"/>
      <c r="F217" s="34"/>
      <c r="H217" s="31"/>
      <c r="I217" s="32"/>
      <c r="J217" s="31"/>
      <c r="K217" s="31"/>
    </row>
    <row r="218" spans="3:11" x14ac:dyDescent="0.15">
      <c r="C218" s="33">
        <f t="shared" si="16"/>
        <v>130</v>
      </c>
      <c r="D218" s="2"/>
      <c r="E218" s="53"/>
      <c r="F218" s="34"/>
      <c r="H218" s="31"/>
      <c r="I218" s="32"/>
      <c r="J218" s="31"/>
      <c r="K218" s="31"/>
    </row>
    <row r="219" spans="3:11" x14ac:dyDescent="0.15">
      <c r="C219" s="33">
        <f t="shared" si="16"/>
        <v>131</v>
      </c>
      <c r="D219" s="2"/>
      <c r="E219" s="53"/>
      <c r="F219" s="34"/>
      <c r="H219" s="31"/>
      <c r="I219" s="32"/>
      <c r="J219" s="31"/>
      <c r="K219" s="31"/>
    </row>
    <row r="220" spans="3:11" x14ac:dyDescent="0.15">
      <c r="C220" s="49">
        <f t="shared" si="16"/>
        <v>132</v>
      </c>
      <c r="D220" s="50"/>
      <c r="E220" s="55"/>
      <c r="F220" s="56"/>
    </row>
  </sheetData>
  <mergeCells count="2">
    <mergeCell ref="C2:K2"/>
    <mergeCell ref="C41:K41"/>
  </mergeCells>
  <phoneticPr fontId="10"/>
  <printOptions horizontalCentered="1" verticalCentered="1"/>
  <pageMargins left="0.31496062992125984" right="0.11811023622047245" top="0.47244094488188981" bottom="0.27559055118110237" header="0.19685039370078741" footer="0.19685039370078741"/>
  <pageSetup paperSize="8" scale="130" orientation="landscape" r:id="rId1"/>
  <headerFooter alignWithMargins="0"/>
  <rowBreaks count="1" manualBreakCount="1">
    <brk id="39" min="1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2D15-ED18-410D-9F3C-F1922564FF14}">
  <dimension ref="A1:N220"/>
  <sheetViews>
    <sheetView showGridLines="0" view="pageBreakPreview" zoomScaleNormal="100" zoomScaleSheetLayoutView="100" workbookViewId="0"/>
  </sheetViews>
  <sheetFormatPr defaultRowHeight="13.5" x14ac:dyDescent="0.15"/>
  <cols>
    <col min="1" max="1" width="3.5" style="1" customWidth="1"/>
    <col min="2" max="2" width="4.625" style="1" customWidth="1"/>
    <col min="3" max="3" width="9" style="1"/>
    <col min="4" max="4" width="42.625" style="1" customWidth="1"/>
    <col min="5" max="5" width="10.625" style="1" customWidth="1"/>
    <col min="6" max="6" width="8.625" style="1" customWidth="1"/>
    <col min="7" max="7" width="5.25" style="1" customWidth="1"/>
    <col min="8" max="8" width="9" style="1"/>
    <col min="9" max="9" width="42.625" style="1" customWidth="1"/>
    <col min="10" max="10" width="10.625" style="7" customWidth="1"/>
    <col min="11" max="11" width="8.625" style="7" customWidth="1"/>
    <col min="12" max="12" width="4.375" style="7" customWidth="1"/>
    <col min="13" max="16" width="4.75" style="7" customWidth="1"/>
    <col min="17" max="17" width="17.25" style="7" bestFit="1" customWidth="1"/>
    <col min="18" max="18" width="9" style="7"/>
    <col min="19" max="19" width="3.5" style="7" bestFit="1" customWidth="1"/>
    <col min="20" max="20" width="29.5" style="7" bestFit="1" customWidth="1"/>
    <col min="21" max="21" width="6.5" style="7" bestFit="1" customWidth="1"/>
    <col min="22" max="16384" width="9" style="7"/>
  </cols>
  <sheetData>
    <row r="1" spans="2:14" ht="14.25" thickBot="1" x14ac:dyDescent="0.2">
      <c r="B1" s="3"/>
      <c r="C1" s="4"/>
      <c r="D1" s="4"/>
      <c r="E1" s="4"/>
      <c r="F1" s="4"/>
      <c r="G1" s="4"/>
      <c r="H1" s="4"/>
      <c r="I1" s="4"/>
      <c r="J1" s="5"/>
      <c r="K1" s="5"/>
      <c r="L1" s="6"/>
    </row>
    <row r="2" spans="2:14" ht="30" customHeight="1" thickBot="1" x14ac:dyDescent="0.2">
      <c r="B2" s="8"/>
      <c r="C2" s="58" t="s">
        <v>83</v>
      </c>
      <c r="D2" s="59"/>
      <c r="E2" s="59"/>
      <c r="F2" s="59"/>
      <c r="G2" s="59"/>
      <c r="H2" s="59"/>
      <c r="I2" s="59"/>
      <c r="J2" s="59"/>
      <c r="K2" s="60"/>
      <c r="L2" s="9"/>
    </row>
    <row r="3" spans="2:14" ht="11.25" customHeight="1" x14ac:dyDescent="0.15">
      <c r="B3" s="8"/>
      <c r="C3" s="10"/>
      <c r="D3" s="10"/>
      <c r="E3" s="10"/>
      <c r="F3" s="10"/>
      <c r="G3" s="10"/>
      <c r="H3" s="10"/>
      <c r="I3" s="10"/>
      <c r="J3" s="11"/>
      <c r="K3" s="11"/>
      <c r="L3" s="12"/>
      <c r="M3" s="11"/>
      <c r="N3" s="11"/>
    </row>
    <row r="4" spans="2:14" ht="22.5" customHeight="1" x14ac:dyDescent="0.15">
      <c r="B4" s="13"/>
      <c r="C4" s="14" t="s">
        <v>0</v>
      </c>
      <c r="D4" s="14" t="s">
        <v>1</v>
      </c>
      <c r="E4" s="14" t="s">
        <v>2</v>
      </c>
      <c r="F4" s="14" t="s">
        <v>3</v>
      </c>
      <c r="G4" s="15"/>
      <c r="H4" s="14" t="s">
        <v>0</v>
      </c>
      <c r="I4" s="14" t="s">
        <v>1</v>
      </c>
      <c r="J4" s="14" t="s">
        <v>2</v>
      </c>
      <c r="K4" s="14" t="s">
        <v>3</v>
      </c>
      <c r="L4" s="16"/>
      <c r="M4" s="17"/>
      <c r="N4" s="17"/>
    </row>
    <row r="5" spans="2:14" ht="15.75" customHeight="1" x14ac:dyDescent="0.15">
      <c r="B5" s="18"/>
      <c r="C5" s="19">
        <v>1</v>
      </c>
      <c r="D5" s="20" t="str">
        <f t="shared" ref="D5:D37" si="0">IF(OR(C5=0,C5=""),"",VLOOKUP(C5,$C$89:$E$220,2,FALSE))</f>
        <v>特記仕様書（その1）</v>
      </c>
      <c r="E5" s="19" t="str">
        <f t="shared" ref="E5:E37" si="1">IF(OR(C5=0,C5=""),"",VLOOKUP(C5,$C$89:$E$220,3,FALSE))</f>
        <v>noscale</v>
      </c>
      <c r="F5" s="21">
        <f t="shared" ref="F5:F37" si="2">IF(OR(C5=0,C5=""),"",VLOOKUP(C5,$C$89:$F$217,4,FALSE))</f>
        <v>0</v>
      </c>
      <c r="G5" s="22"/>
      <c r="H5" s="19"/>
      <c r="I5" s="20" t="str">
        <f t="shared" ref="I5:I37" si="3">IF(OR(H5=0,H5=""),"",VLOOKUP(H5,$C$89:$E$220,2,FALSE))</f>
        <v/>
      </c>
      <c r="J5" s="19" t="str">
        <f t="shared" ref="J5:J37" si="4">IF(OR(H5=0,H5=""),"",VLOOKUP(H5,$C$89:$E$220,3,FALSE))</f>
        <v/>
      </c>
      <c r="K5" s="21" t="str">
        <f t="shared" ref="K5:K37" si="5">IF(OR(H5=0,H5=""),"",VLOOKUP(H5,$C$89:$F$220,4,FALSE))</f>
        <v/>
      </c>
      <c r="L5" s="23"/>
      <c r="M5" s="17"/>
      <c r="N5" s="17"/>
    </row>
    <row r="6" spans="2:14" ht="15.75" customHeight="1" x14ac:dyDescent="0.15">
      <c r="B6" s="18"/>
      <c r="C6" s="19">
        <f t="shared" ref="C6:C12" si="6">C5+1</f>
        <v>2</v>
      </c>
      <c r="D6" s="20" t="str">
        <f t="shared" si="0"/>
        <v>特記仕様書（その2）</v>
      </c>
      <c r="E6" s="19" t="str">
        <f t="shared" si="1"/>
        <v>noscale</v>
      </c>
      <c r="F6" s="21">
        <f t="shared" si="2"/>
        <v>0</v>
      </c>
      <c r="G6" s="22"/>
      <c r="H6" s="19"/>
      <c r="I6" s="20" t="str">
        <f t="shared" si="3"/>
        <v/>
      </c>
      <c r="J6" s="19" t="str">
        <f t="shared" si="4"/>
        <v/>
      </c>
      <c r="K6" s="21" t="str">
        <f t="shared" si="5"/>
        <v/>
      </c>
      <c r="L6" s="23"/>
      <c r="M6" s="17"/>
      <c r="N6" s="17"/>
    </row>
    <row r="7" spans="2:14" ht="15.75" customHeight="1" x14ac:dyDescent="0.15">
      <c r="B7" s="24"/>
      <c r="C7" s="19">
        <f t="shared" si="6"/>
        <v>3</v>
      </c>
      <c r="D7" s="20" t="str">
        <f t="shared" si="0"/>
        <v>建物面積</v>
      </c>
      <c r="E7" s="41" t="str">
        <f t="shared" si="1"/>
        <v>図示</v>
      </c>
      <c r="F7" s="21">
        <f t="shared" si="2"/>
        <v>0</v>
      </c>
      <c r="G7" s="22"/>
      <c r="H7" s="19"/>
      <c r="I7" s="20" t="str">
        <f t="shared" si="3"/>
        <v/>
      </c>
      <c r="J7" s="19" t="str">
        <f t="shared" si="4"/>
        <v/>
      </c>
      <c r="K7" s="21" t="str">
        <f t="shared" si="5"/>
        <v/>
      </c>
      <c r="L7" s="23"/>
      <c r="M7" s="17"/>
      <c r="N7" s="17"/>
    </row>
    <row r="8" spans="2:14" ht="15.75" customHeight="1" x14ac:dyDescent="0.15">
      <c r="B8" s="24"/>
      <c r="C8" s="19">
        <f t="shared" si="6"/>
        <v>4</v>
      </c>
      <c r="D8" s="20" t="str">
        <f t="shared" si="0"/>
        <v>平面図・小屋伏図・矩形図・アンカー詳細図</v>
      </c>
      <c r="E8" s="19" t="str">
        <f t="shared" si="1"/>
        <v>1:30</v>
      </c>
      <c r="F8" s="21">
        <f t="shared" si="2"/>
        <v>0</v>
      </c>
      <c r="G8" s="22"/>
      <c r="H8" s="19"/>
      <c r="I8" s="20" t="str">
        <f t="shared" si="3"/>
        <v/>
      </c>
      <c r="J8" s="19" t="str">
        <f t="shared" si="4"/>
        <v/>
      </c>
      <c r="K8" s="21" t="str">
        <f t="shared" si="5"/>
        <v/>
      </c>
      <c r="L8" s="23"/>
      <c r="M8" s="17"/>
      <c r="N8" s="17"/>
    </row>
    <row r="9" spans="2:14" ht="15.75" customHeight="1" x14ac:dyDescent="0.15">
      <c r="B9" s="24"/>
      <c r="C9" s="19">
        <f t="shared" si="6"/>
        <v>5</v>
      </c>
      <c r="D9" s="20" t="str">
        <f t="shared" si="0"/>
        <v>立面図</v>
      </c>
      <c r="E9" s="19" t="str">
        <f t="shared" si="1"/>
        <v>1:30</v>
      </c>
      <c r="F9" s="21">
        <f t="shared" si="2"/>
        <v>0</v>
      </c>
      <c r="G9" s="22"/>
      <c r="H9" s="19"/>
      <c r="I9" s="20" t="str">
        <f t="shared" si="3"/>
        <v/>
      </c>
      <c r="J9" s="19" t="str">
        <f t="shared" si="4"/>
        <v/>
      </c>
      <c r="K9" s="21" t="str">
        <f t="shared" si="5"/>
        <v/>
      </c>
      <c r="L9" s="23"/>
      <c r="M9" s="17"/>
      <c r="N9" s="17"/>
    </row>
    <row r="10" spans="2:14" ht="15.75" customHeight="1" x14ac:dyDescent="0.15">
      <c r="B10" s="24"/>
      <c r="C10" s="19">
        <f t="shared" si="6"/>
        <v>6</v>
      </c>
      <c r="D10" s="20" t="str">
        <f t="shared" si="0"/>
        <v>建具表</v>
      </c>
      <c r="E10" s="19" t="str">
        <f t="shared" si="1"/>
        <v>1:30</v>
      </c>
      <c r="F10" s="21">
        <f t="shared" si="2"/>
        <v>0</v>
      </c>
      <c r="G10" s="22"/>
      <c r="H10" s="19"/>
      <c r="I10" s="20" t="str">
        <f t="shared" si="3"/>
        <v/>
      </c>
      <c r="J10" s="19" t="str">
        <f t="shared" si="4"/>
        <v/>
      </c>
      <c r="K10" s="21" t="str">
        <f t="shared" si="5"/>
        <v/>
      </c>
      <c r="L10" s="23"/>
      <c r="M10" s="17"/>
      <c r="N10" s="17"/>
    </row>
    <row r="11" spans="2:14" ht="15.75" customHeight="1" x14ac:dyDescent="0.15">
      <c r="B11" s="24"/>
      <c r="C11" s="19">
        <f t="shared" si="6"/>
        <v>7</v>
      </c>
      <c r="D11" s="20" t="str">
        <f t="shared" si="0"/>
        <v>電気設備工事特記仕様書図</v>
      </c>
      <c r="E11" s="19" t="str">
        <f t="shared" si="1"/>
        <v>noscale</v>
      </c>
      <c r="F11" s="21">
        <f t="shared" si="2"/>
        <v>0</v>
      </c>
      <c r="G11" s="22"/>
      <c r="H11" s="19"/>
      <c r="I11" s="20" t="str">
        <f t="shared" si="3"/>
        <v/>
      </c>
      <c r="J11" s="19" t="str">
        <f t="shared" si="4"/>
        <v/>
      </c>
      <c r="K11" s="21" t="str">
        <f t="shared" si="5"/>
        <v/>
      </c>
      <c r="L11" s="23"/>
      <c r="M11" s="17"/>
      <c r="N11" s="17"/>
    </row>
    <row r="12" spans="2:14" ht="15.75" customHeight="1" x14ac:dyDescent="0.15">
      <c r="B12" s="24"/>
      <c r="C12" s="19">
        <f t="shared" si="6"/>
        <v>8</v>
      </c>
      <c r="D12" s="20" t="str">
        <f t="shared" si="0"/>
        <v>照明電気図</v>
      </c>
      <c r="E12" s="19" t="str">
        <f t="shared" si="1"/>
        <v>1:30</v>
      </c>
      <c r="F12" s="21">
        <f t="shared" si="2"/>
        <v>0</v>
      </c>
      <c r="G12" s="22"/>
      <c r="H12" s="19"/>
      <c r="I12" s="20" t="str">
        <f t="shared" si="3"/>
        <v/>
      </c>
      <c r="J12" s="19" t="str">
        <f t="shared" si="4"/>
        <v/>
      </c>
      <c r="K12" s="21" t="str">
        <f t="shared" si="5"/>
        <v/>
      </c>
      <c r="L12" s="23"/>
      <c r="M12" s="17"/>
      <c r="N12" s="17"/>
    </row>
    <row r="13" spans="2:14" ht="15.75" customHeight="1" x14ac:dyDescent="0.15">
      <c r="B13" s="24"/>
      <c r="C13" s="19"/>
      <c r="D13" s="20" t="str">
        <f t="shared" si="0"/>
        <v/>
      </c>
      <c r="E13" s="19" t="str">
        <f t="shared" si="1"/>
        <v/>
      </c>
      <c r="F13" s="21" t="str">
        <f t="shared" si="2"/>
        <v/>
      </c>
      <c r="G13" s="22"/>
      <c r="H13" s="19"/>
      <c r="I13" s="20" t="str">
        <f t="shared" si="3"/>
        <v/>
      </c>
      <c r="J13" s="19" t="str">
        <f t="shared" si="4"/>
        <v/>
      </c>
      <c r="K13" s="21" t="str">
        <f t="shared" si="5"/>
        <v/>
      </c>
      <c r="L13" s="23"/>
      <c r="M13" s="17"/>
      <c r="N13" s="17"/>
    </row>
    <row r="14" spans="2:14" ht="15.75" customHeight="1" x14ac:dyDescent="0.15">
      <c r="B14" s="24"/>
      <c r="C14" s="19"/>
      <c r="D14" s="20" t="str">
        <f t="shared" si="0"/>
        <v/>
      </c>
      <c r="E14" s="19" t="str">
        <f t="shared" si="1"/>
        <v/>
      </c>
      <c r="F14" s="21" t="str">
        <f t="shared" si="2"/>
        <v/>
      </c>
      <c r="G14" s="25"/>
      <c r="H14" s="19"/>
      <c r="I14" s="20" t="str">
        <f t="shared" si="3"/>
        <v/>
      </c>
      <c r="J14" s="19" t="str">
        <f t="shared" si="4"/>
        <v/>
      </c>
      <c r="K14" s="21" t="str">
        <f t="shared" si="5"/>
        <v/>
      </c>
      <c r="L14" s="23"/>
      <c r="M14" s="17"/>
      <c r="N14" s="17"/>
    </row>
    <row r="15" spans="2:14" ht="15.75" customHeight="1" x14ac:dyDescent="0.15">
      <c r="B15" s="24"/>
      <c r="C15" s="19"/>
      <c r="D15" s="20" t="str">
        <f t="shared" si="0"/>
        <v/>
      </c>
      <c r="E15" s="19" t="str">
        <f t="shared" si="1"/>
        <v/>
      </c>
      <c r="F15" s="21" t="str">
        <f t="shared" si="2"/>
        <v/>
      </c>
      <c r="G15" s="25"/>
      <c r="H15" s="19"/>
      <c r="I15" s="20" t="str">
        <f t="shared" si="3"/>
        <v/>
      </c>
      <c r="J15" s="19" t="str">
        <f t="shared" si="4"/>
        <v/>
      </c>
      <c r="K15" s="21" t="str">
        <f t="shared" si="5"/>
        <v/>
      </c>
      <c r="L15" s="23"/>
      <c r="M15" s="17"/>
      <c r="N15" s="17"/>
    </row>
    <row r="16" spans="2:14" ht="15.75" customHeight="1" x14ac:dyDescent="0.15">
      <c r="B16" s="24"/>
      <c r="C16" s="19"/>
      <c r="D16" s="20" t="str">
        <f t="shared" si="0"/>
        <v/>
      </c>
      <c r="E16" s="19" t="str">
        <f t="shared" si="1"/>
        <v/>
      </c>
      <c r="F16" s="21" t="str">
        <f t="shared" si="2"/>
        <v/>
      </c>
      <c r="G16" s="25"/>
      <c r="H16" s="19"/>
      <c r="I16" s="20" t="str">
        <f t="shared" si="3"/>
        <v/>
      </c>
      <c r="J16" s="19" t="str">
        <f t="shared" si="4"/>
        <v/>
      </c>
      <c r="K16" s="21" t="str">
        <f t="shared" si="5"/>
        <v/>
      </c>
      <c r="L16" s="23"/>
      <c r="M16" s="17"/>
      <c r="N16" s="17"/>
    </row>
    <row r="17" spans="2:14" ht="15.75" customHeight="1" x14ac:dyDescent="0.15">
      <c r="B17" s="24"/>
      <c r="C17" s="19"/>
      <c r="D17" s="20" t="str">
        <f t="shared" si="0"/>
        <v/>
      </c>
      <c r="E17" s="19" t="str">
        <f t="shared" si="1"/>
        <v/>
      </c>
      <c r="F17" s="21" t="str">
        <f t="shared" si="2"/>
        <v/>
      </c>
      <c r="G17" s="22"/>
      <c r="H17" s="19"/>
      <c r="I17" s="20" t="str">
        <f t="shared" si="3"/>
        <v/>
      </c>
      <c r="J17" s="19" t="str">
        <f t="shared" si="4"/>
        <v/>
      </c>
      <c r="K17" s="21" t="str">
        <f t="shared" si="5"/>
        <v/>
      </c>
      <c r="L17" s="23"/>
      <c r="M17" s="17"/>
      <c r="N17" s="17"/>
    </row>
    <row r="18" spans="2:14" ht="15.75" customHeight="1" x14ac:dyDescent="0.15">
      <c r="B18" s="24"/>
      <c r="C18" s="19"/>
      <c r="D18" s="20" t="str">
        <f t="shared" si="0"/>
        <v/>
      </c>
      <c r="E18" s="19" t="str">
        <f t="shared" si="1"/>
        <v/>
      </c>
      <c r="F18" s="21" t="str">
        <f t="shared" si="2"/>
        <v/>
      </c>
      <c r="G18" s="22"/>
      <c r="H18" s="19"/>
      <c r="I18" s="20" t="str">
        <f t="shared" si="3"/>
        <v/>
      </c>
      <c r="J18" s="19" t="str">
        <f t="shared" si="4"/>
        <v/>
      </c>
      <c r="K18" s="21" t="str">
        <f t="shared" si="5"/>
        <v/>
      </c>
      <c r="L18" s="23"/>
      <c r="M18" s="17"/>
      <c r="N18" s="17"/>
    </row>
    <row r="19" spans="2:14" ht="15.75" customHeight="1" x14ac:dyDescent="0.15">
      <c r="B19" s="24"/>
      <c r="C19" s="19"/>
      <c r="D19" s="20" t="str">
        <f t="shared" si="0"/>
        <v/>
      </c>
      <c r="E19" s="19" t="str">
        <f t="shared" si="1"/>
        <v/>
      </c>
      <c r="F19" s="21" t="str">
        <f t="shared" si="2"/>
        <v/>
      </c>
      <c r="G19" s="22"/>
      <c r="H19" s="19"/>
      <c r="I19" s="20" t="str">
        <f t="shared" si="3"/>
        <v/>
      </c>
      <c r="J19" s="19" t="str">
        <f t="shared" si="4"/>
        <v/>
      </c>
      <c r="K19" s="21" t="str">
        <f t="shared" si="5"/>
        <v/>
      </c>
      <c r="L19" s="23"/>
      <c r="M19" s="17"/>
      <c r="N19" s="17"/>
    </row>
    <row r="20" spans="2:14" ht="15.75" customHeight="1" x14ac:dyDescent="0.15">
      <c r="B20" s="24"/>
      <c r="C20" s="19"/>
      <c r="D20" s="20" t="str">
        <f t="shared" si="0"/>
        <v/>
      </c>
      <c r="E20" s="19" t="str">
        <f t="shared" si="1"/>
        <v/>
      </c>
      <c r="F20" s="21" t="str">
        <f t="shared" si="2"/>
        <v/>
      </c>
      <c r="G20" s="25"/>
      <c r="H20" s="19"/>
      <c r="I20" s="20" t="str">
        <f t="shared" si="3"/>
        <v/>
      </c>
      <c r="J20" s="19" t="str">
        <f t="shared" si="4"/>
        <v/>
      </c>
      <c r="K20" s="21" t="str">
        <f t="shared" si="5"/>
        <v/>
      </c>
      <c r="L20" s="23"/>
      <c r="M20" s="17"/>
      <c r="N20" s="17"/>
    </row>
    <row r="21" spans="2:14" ht="15.75" customHeight="1" x14ac:dyDescent="0.15">
      <c r="B21" s="24"/>
      <c r="C21" s="19"/>
      <c r="D21" s="20" t="str">
        <f t="shared" si="0"/>
        <v/>
      </c>
      <c r="E21" s="19" t="str">
        <f t="shared" si="1"/>
        <v/>
      </c>
      <c r="F21" s="21" t="str">
        <f t="shared" si="2"/>
        <v/>
      </c>
      <c r="G21" s="25"/>
      <c r="H21" s="19"/>
      <c r="I21" s="20" t="str">
        <f t="shared" si="3"/>
        <v/>
      </c>
      <c r="J21" s="19" t="str">
        <f t="shared" si="4"/>
        <v/>
      </c>
      <c r="K21" s="21" t="str">
        <f t="shared" si="5"/>
        <v/>
      </c>
      <c r="L21" s="23"/>
      <c r="M21" s="17"/>
      <c r="N21" s="17"/>
    </row>
    <row r="22" spans="2:14" ht="15.75" customHeight="1" x14ac:dyDescent="0.15">
      <c r="B22" s="24"/>
      <c r="C22" s="19"/>
      <c r="D22" s="20" t="str">
        <f t="shared" si="0"/>
        <v/>
      </c>
      <c r="E22" s="19" t="str">
        <f t="shared" si="1"/>
        <v/>
      </c>
      <c r="F22" s="21" t="str">
        <f t="shared" si="2"/>
        <v/>
      </c>
      <c r="G22" s="25"/>
      <c r="H22" s="19"/>
      <c r="I22" s="20" t="str">
        <f t="shared" si="3"/>
        <v/>
      </c>
      <c r="J22" s="19" t="str">
        <f t="shared" si="4"/>
        <v/>
      </c>
      <c r="K22" s="21" t="str">
        <f t="shared" si="5"/>
        <v/>
      </c>
      <c r="L22" s="23"/>
      <c r="M22" s="17"/>
      <c r="N22" s="17"/>
    </row>
    <row r="23" spans="2:14" ht="15.75" customHeight="1" x14ac:dyDescent="0.15">
      <c r="B23" s="24"/>
      <c r="C23" s="19"/>
      <c r="D23" s="20" t="str">
        <f t="shared" si="0"/>
        <v/>
      </c>
      <c r="E23" s="19" t="str">
        <f t="shared" si="1"/>
        <v/>
      </c>
      <c r="F23" s="21" t="str">
        <f t="shared" si="2"/>
        <v/>
      </c>
      <c r="G23" s="22"/>
      <c r="H23" s="19"/>
      <c r="I23" s="20" t="str">
        <f t="shared" si="3"/>
        <v/>
      </c>
      <c r="J23" s="19" t="str">
        <f t="shared" si="4"/>
        <v/>
      </c>
      <c r="K23" s="21" t="str">
        <f t="shared" si="5"/>
        <v/>
      </c>
      <c r="L23" s="23"/>
      <c r="M23" s="17"/>
      <c r="N23" s="17"/>
    </row>
    <row r="24" spans="2:14" ht="15.75" customHeight="1" x14ac:dyDescent="0.15">
      <c r="B24" s="24"/>
      <c r="C24" s="19"/>
      <c r="D24" s="20" t="str">
        <f t="shared" si="0"/>
        <v/>
      </c>
      <c r="E24" s="19" t="str">
        <f t="shared" si="1"/>
        <v/>
      </c>
      <c r="F24" s="21" t="str">
        <f t="shared" si="2"/>
        <v/>
      </c>
      <c r="G24" s="22"/>
      <c r="H24" s="19"/>
      <c r="I24" s="20" t="str">
        <f t="shared" si="3"/>
        <v/>
      </c>
      <c r="J24" s="19" t="str">
        <f t="shared" si="4"/>
        <v/>
      </c>
      <c r="K24" s="21" t="str">
        <f t="shared" si="5"/>
        <v/>
      </c>
      <c r="L24" s="23"/>
      <c r="M24" s="17"/>
      <c r="N24" s="17"/>
    </row>
    <row r="25" spans="2:14" ht="15.75" customHeight="1" x14ac:dyDescent="0.15">
      <c r="B25" s="24"/>
      <c r="C25" s="19"/>
      <c r="D25" s="20" t="str">
        <f t="shared" si="0"/>
        <v/>
      </c>
      <c r="E25" s="19" t="str">
        <f t="shared" si="1"/>
        <v/>
      </c>
      <c r="F25" s="21" t="str">
        <f t="shared" si="2"/>
        <v/>
      </c>
      <c r="G25" s="22"/>
      <c r="H25" s="19"/>
      <c r="I25" s="20" t="str">
        <f t="shared" si="3"/>
        <v/>
      </c>
      <c r="J25" s="19" t="str">
        <f t="shared" si="4"/>
        <v/>
      </c>
      <c r="K25" s="21" t="str">
        <f t="shared" si="5"/>
        <v/>
      </c>
      <c r="L25" s="23"/>
      <c r="M25" s="17"/>
      <c r="N25" s="17"/>
    </row>
    <row r="26" spans="2:14" ht="15.75" customHeight="1" x14ac:dyDescent="0.15">
      <c r="B26" s="24"/>
      <c r="C26" s="19"/>
      <c r="D26" s="20" t="str">
        <f t="shared" si="0"/>
        <v/>
      </c>
      <c r="E26" s="19" t="str">
        <f t="shared" si="1"/>
        <v/>
      </c>
      <c r="F26" s="21" t="str">
        <f t="shared" si="2"/>
        <v/>
      </c>
      <c r="G26" s="22"/>
      <c r="H26" s="19"/>
      <c r="I26" s="20" t="str">
        <f t="shared" si="3"/>
        <v/>
      </c>
      <c r="J26" s="19" t="str">
        <f t="shared" si="4"/>
        <v/>
      </c>
      <c r="K26" s="21" t="str">
        <f t="shared" si="5"/>
        <v/>
      </c>
      <c r="L26" s="23"/>
      <c r="M26" s="17"/>
      <c r="N26" s="17"/>
    </row>
    <row r="27" spans="2:14" ht="15.75" customHeight="1" x14ac:dyDescent="0.15">
      <c r="B27" s="24"/>
      <c r="C27" s="19"/>
      <c r="D27" s="20" t="str">
        <f t="shared" si="0"/>
        <v/>
      </c>
      <c r="E27" s="19" t="str">
        <f t="shared" si="1"/>
        <v/>
      </c>
      <c r="F27" s="21" t="str">
        <f t="shared" si="2"/>
        <v/>
      </c>
      <c r="G27" s="22"/>
      <c r="H27" s="19"/>
      <c r="I27" s="20" t="str">
        <f t="shared" si="3"/>
        <v/>
      </c>
      <c r="J27" s="19" t="str">
        <f t="shared" si="4"/>
        <v/>
      </c>
      <c r="K27" s="21" t="str">
        <f t="shared" si="5"/>
        <v/>
      </c>
      <c r="L27" s="23"/>
      <c r="M27" s="17"/>
      <c r="N27" s="17"/>
    </row>
    <row r="28" spans="2:14" ht="15.75" customHeight="1" x14ac:dyDescent="0.15">
      <c r="B28" s="24"/>
      <c r="C28" s="19"/>
      <c r="D28" s="20" t="str">
        <f t="shared" si="0"/>
        <v/>
      </c>
      <c r="E28" s="19" t="str">
        <f t="shared" si="1"/>
        <v/>
      </c>
      <c r="F28" s="21" t="str">
        <f t="shared" si="2"/>
        <v/>
      </c>
      <c r="G28" s="22"/>
      <c r="H28" s="19"/>
      <c r="I28" s="20" t="str">
        <f t="shared" si="3"/>
        <v/>
      </c>
      <c r="J28" s="19" t="str">
        <f t="shared" si="4"/>
        <v/>
      </c>
      <c r="K28" s="21" t="str">
        <f t="shared" si="5"/>
        <v/>
      </c>
      <c r="L28" s="23"/>
      <c r="M28" s="17"/>
      <c r="N28" s="17"/>
    </row>
    <row r="29" spans="2:14" ht="15.75" customHeight="1" x14ac:dyDescent="0.15">
      <c r="B29" s="24"/>
      <c r="C29" s="19"/>
      <c r="D29" s="20" t="str">
        <f t="shared" si="0"/>
        <v/>
      </c>
      <c r="E29" s="19" t="str">
        <f t="shared" si="1"/>
        <v/>
      </c>
      <c r="F29" s="21" t="str">
        <f t="shared" si="2"/>
        <v/>
      </c>
      <c r="G29" s="22"/>
      <c r="H29" s="19"/>
      <c r="I29" s="20" t="str">
        <f t="shared" si="3"/>
        <v/>
      </c>
      <c r="J29" s="19" t="str">
        <f t="shared" si="4"/>
        <v/>
      </c>
      <c r="K29" s="21" t="str">
        <f t="shared" si="5"/>
        <v/>
      </c>
      <c r="L29" s="23"/>
      <c r="M29" s="17"/>
      <c r="N29" s="17"/>
    </row>
    <row r="30" spans="2:14" ht="15.75" customHeight="1" x14ac:dyDescent="0.15">
      <c r="B30" s="24"/>
      <c r="C30" s="19"/>
      <c r="D30" s="20" t="str">
        <f t="shared" si="0"/>
        <v/>
      </c>
      <c r="E30" s="19" t="str">
        <f t="shared" si="1"/>
        <v/>
      </c>
      <c r="F30" s="21" t="str">
        <f t="shared" si="2"/>
        <v/>
      </c>
      <c r="G30" s="22"/>
      <c r="H30" s="19"/>
      <c r="I30" s="20" t="str">
        <f t="shared" si="3"/>
        <v/>
      </c>
      <c r="J30" s="19" t="str">
        <f t="shared" si="4"/>
        <v/>
      </c>
      <c r="K30" s="21" t="str">
        <f t="shared" si="5"/>
        <v/>
      </c>
      <c r="L30" s="23"/>
      <c r="M30" s="17"/>
      <c r="N30" s="17"/>
    </row>
    <row r="31" spans="2:14" ht="15.75" customHeight="1" x14ac:dyDescent="0.15">
      <c r="B31" s="24"/>
      <c r="C31" s="19"/>
      <c r="D31" s="20" t="str">
        <f t="shared" si="0"/>
        <v/>
      </c>
      <c r="E31" s="19" t="str">
        <f t="shared" si="1"/>
        <v/>
      </c>
      <c r="F31" s="21" t="str">
        <f t="shared" si="2"/>
        <v/>
      </c>
      <c r="G31" s="22"/>
      <c r="H31" s="19"/>
      <c r="I31" s="20" t="str">
        <f t="shared" si="3"/>
        <v/>
      </c>
      <c r="J31" s="19" t="str">
        <f t="shared" si="4"/>
        <v/>
      </c>
      <c r="K31" s="21" t="str">
        <f t="shared" si="5"/>
        <v/>
      </c>
      <c r="L31" s="23"/>
      <c r="M31" s="17"/>
      <c r="N31" s="17"/>
    </row>
    <row r="32" spans="2:14" ht="15.75" customHeight="1" x14ac:dyDescent="0.15">
      <c r="B32" s="24"/>
      <c r="C32" s="19"/>
      <c r="D32" s="20" t="str">
        <f t="shared" si="0"/>
        <v/>
      </c>
      <c r="E32" s="19" t="str">
        <f t="shared" si="1"/>
        <v/>
      </c>
      <c r="F32" s="21" t="str">
        <f t="shared" si="2"/>
        <v/>
      </c>
      <c r="G32" s="22"/>
      <c r="H32" s="19"/>
      <c r="I32" s="20" t="str">
        <f t="shared" si="3"/>
        <v/>
      </c>
      <c r="J32" s="19" t="str">
        <f t="shared" si="4"/>
        <v/>
      </c>
      <c r="K32" s="21" t="str">
        <f t="shared" si="5"/>
        <v/>
      </c>
      <c r="L32" s="23"/>
      <c r="M32" s="17"/>
      <c r="N32" s="17"/>
    </row>
    <row r="33" spans="2:14" ht="15.75" customHeight="1" x14ac:dyDescent="0.15">
      <c r="B33" s="24"/>
      <c r="C33" s="19"/>
      <c r="D33" s="20" t="str">
        <f t="shared" si="0"/>
        <v/>
      </c>
      <c r="E33" s="19" t="str">
        <f t="shared" si="1"/>
        <v/>
      </c>
      <c r="F33" s="21" t="str">
        <f t="shared" si="2"/>
        <v/>
      </c>
      <c r="G33" s="22"/>
      <c r="H33" s="19"/>
      <c r="I33" s="20" t="str">
        <f t="shared" si="3"/>
        <v/>
      </c>
      <c r="J33" s="19" t="str">
        <f t="shared" si="4"/>
        <v/>
      </c>
      <c r="K33" s="21" t="str">
        <f t="shared" si="5"/>
        <v/>
      </c>
      <c r="L33" s="23"/>
      <c r="M33" s="17"/>
      <c r="N33" s="17"/>
    </row>
    <row r="34" spans="2:14" ht="15.75" customHeight="1" x14ac:dyDescent="0.15">
      <c r="B34" s="24"/>
      <c r="C34" s="19"/>
      <c r="D34" s="20" t="str">
        <f t="shared" si="0"/>
        <v/>
      </c>
      <c r="E34" s="19" t="str">
        <f t="shared" si="1"/>
        <v/>
      </c>
      <c r="F34" s="21" t="str">
        <f t="shared" si="2"/>
        <v/>
      </c>
      <c r="G34" s="22"/>
      <c r="H34" s="19"/>
      <c r="I34" s="20" t="str">
        <f t="shared" si="3"/>
        <v/>
      </c>
      <c r="J34" s="19" t="str">
        <f t="shared" si="4"/>
        <v/>
      </c>
      <c r="K34" s="21" t="str">
        <f t="shared" si="5"/>
        <v/>
      </c>
      <c r="L34" s="23"/>
      <c r="M34" s="17"/>
      <c r="N34" s="17"/>
    </row>
    <row r="35" spans="2:14" ht="15.75" customHeight="1" x14ac:dyDescent="0.15">
      <c r="B35" s="24"/>
      <c r="C35" s="19"/>
      <c r="D35" s="20" t="str">
        <f t="shared" si="0"/>
        <v/>
      </c>
      <c r="E35" s="19" t="str">
        <f t="shared" si="1"/>
        <v/>
      </c>
      <c r="F35" s="21" t="str">
        <f t="shared" si="2"/>
        <v/>
      </c>
      <c r="G35" s="22"/>
      <c r="H35" s="19"/>
      <c r="I35" s="20" t="str">
        <f t="shared" si="3"/>
        <v/>
      </c>
      <c r="J35" s="19" t="str">
        <f t="shared" si="4"/>
        <v/>
      </c>
      <c r="K35" s="21" t="str">
        <f t="shared" si="5"/>
        <v/>
      </c>
      <c r="L35" s="23"/>
      <c r="M35" s="17"/>
      <c r="N35" s="17"/>
    </row>
    <row r="36" spans="2:14" ht="15.75" customHeight="1" x14ac:dyDescent="0.15">
      <c r="B36" s="24"/>
      <c r="C36" s="19"/>
      <c r="D36" s="20" t="str">
        <f t="shared" si="0"/>
        <v/>
      </c>
      <c r="E36" s="19" t="str">
        <f t="shared" si="1"/>
        <v/>
      </c>
      <c r="F36" s="21" t="str">
        <f t="shared" si="2"/>
        <v/>
      </c>
      <c r="G36" s="22"/>
      <c r="H36" s="19"/>
      <c r="I36" s="20" t="str">
        <f t="shared" si="3"/>
        <v/>
      </c>
      <c r="J36" s="19" t="str">
        <f t="shared" si="4"/>
        <v/>
      </c>
      <c r="K36" s="21" t="str">
        <f t="shared" si="5"/>
        <v/>
      </c>
      <c r="L36" s="23"/>
      <c r="M36" s="17"/>
      <c r="N36" s="17"/>
    </row>
    <row r="37" spans="2:14" ht="15.75" customHeight="1" x14ac:dyDescent="0.15">
      <c r="B37" s="24"/>
      <c r="C37" s="19"/>
      <c r="D37" s="20" t="str">
        <f t="shared" si="0"/>
        <v/>
      </c>
      <c r="E37" s="19" t="str">
        <f t="shared" si="1"/>
        <v/>
      </c>
      <c r="F37" s="21" t="str">
        <f t="shared" si="2"/>
        <v/>
      </c>
      <c r="G37" s="22"/>
      <c r="H37" s="19"/>
      <c r="I37" s="20" t="str">
        <f t="shared" si="3"/>
        <v/>
      </c>
      <c r="J37" s="19" t="str">
        <f t="shared" si="4"/>
        <v/>
      </c>
      <c r="K37" s="21" t="str">
        <f t="shared" si="5"/>
        <v/>
      </c>
      <c r="L37" s="23"/>
      <c r="M37" s="17"/>
      <c r="N37" s="17"/>
    </row>
    <row r="38" spans="2:14" ht="18" customHeight="1" x14ac:dyDescent="0.15">
      <c r="B38" s="26"/>
      <c r="C38" s="27"/>
      <c r="D38" s="28"/>
      <c r="E38" s="27"/>
      <c r="F38" s="27"/>
      <c r="G38" s="29"/>
      <c r="H38" s="27"/>
      <c r="I38" s="28"/>
      <c r="J38" s="27"/>
      <c r="K38" s="27"/>
      <c r="L38" s="30"/>
      <c r="M38" s="17"/>
      <c r="N38" s="17"/>
    </row>
    <row r="39" spans="2:14" ht="18" customHeight="1" x14ac:dyDescent="0.15">
      <c r="B39" s="15"/>
      <c r="C39" s="31"/>
      <c r="D39" s="32"/>
      <c r="E39" s="31"/>
      <c r="F39" s="31"/>
      <c r="G39" s="15"/>
      <c r="H39" s="31"/>
      <c r="I39" s="32"/>
      <c r="J39" s="31"/>
      <c r="K39" s="31"/>
      <c r="L39" s="17"/>
      <c r="M39" s="17"/>
      <c r="N39" s="17"/>
    </row>
    <row r="40" spans="2:14" ht="14.25" thickBot="1" x14ac:dyDescent="0.2">
      <c r="B40" s="3"/>
      <c r="C40" s="4"/>
      <c r="D40" s="4"/>
      <c r="E40" s="4"/>
      <c r="F40" s="4"/>
      <c r="G40" s="4"/>
      <c r="H40" s="4"/>
      <c r="I40" s="4"/>
      <c r="J40" s="5"/>
      <c r="K40" s="5"/>
      <c r="L40" s="6"/>
    </row>
    <row r="41" spans="2:14" ht="30" customHeight="1" thickBot="1" x14ac:dyDescent="0.2">
      <c r="B41" s="8"/>
      <c r="C41" s="58" t="s">
        <v>84</v>
      </c>
      <c r="D41" s="59"/>
      <c r="E41" s="59"/>
      <c r="F41" s="59"/>
      <c r="G41" s="59"/>
      <c r="H41" s="59"/>
      <c r="I41" s="59"/>
      <c r="J41" s="59"/>
      <c r="K41" s="60"/>
      <c r="L41" s="9"/>
    </row>
    <row r="42" spans="2:14" ht="11.25" customHeight="1" x14ac:dyDescent="0.15">
      <c r="B42" s="8"/>
      <c r="C42" s="10"/>
      <c r="D42" s="10"/>
      <c r="E42" s="10"/>
      <c r="F42" s="10"/>
      <c r="G42" s="10"/>
      <c r="H42" s="10"/>
      <c r="I42" s="10"/>
      <c r="J42" s="11"/>
      <c r="K42" s="11"/>
      <c r="L42" s="12"/>
      <c r="M42" s="11"/>
      <c r="N42" s="11"/>
    </row>
    <row r="43" spans="2:14" ht="22.5" customHeight="1" x14ac:dyDescent="0.15">
      <c r="B43" s="13"/>
      <c r="C43" s="14" t="s">
        <v>0</v>
      </c>
      <c r="D43" s="14" t="s">
        <v>1</v>
      </c>
      <c r="E43" s="14" t="s">
        <v>2</v>
      </c>
      <c r="F43" s="14" t="s">
        <v>3</v>
      </c>
      <c r="G43" s="15"/>
      <c r="H43" s="14" t="s">
        <v>0</v>
      </c>
      <c r="I43" s="14" t="s">
        <v>1</v>
      </c>
      <c r="J43" s="14" t="s">
        <v>2</v>
      </c>
      <c r="K43" s="14" t="s">
        <v>3</v>
      </c>
      <c r="L43" s="16"/>
      <c r="M43" s="17"/>
      <c r="N43" s="17"/>
    </row>
    <row r="44" spans="2:14" ht="15.75" customHeight="1" x14ac:dyDescent="0.15">
      <c r="B44" s="18"/>
      <c r="C44" s="19"/>
      <c r="D44" s="20" t="str">
        <f t="shared" ref="D44:D76" si="7">IF(OR(C44=0,C44=""),"",VLOOKUP(C44,$C$89:$E$220,2,FALSE))</f>
        <v/>
      </c>
      <c r="E44" s="19" t="str">
        <f t="shared" ref="E44:E76" si="8">IF(OR(C44=0,C44=""),"",VLOOKUP(C44,$C$89:$E$220,3,FALSE))</f>
        <v/>
      </c>
      <c r="F44" s="21" t="str">
        <f t="shared" ref="F44:F76" si="9">IF(OR(C44=0,C44=""),"",VLOOKUP(C44,$C$89:$F$217,4,FALSE))</f>
        <v/>
      </c>
      <c r="G44" s="22"/>
      <c r="H44" s="19"/>
      <c r="I44" s="20" t="str">
        <f t="shared" ref="I44:I76" si="10">IF(OR(H44=0,H44=""),"",VLOOKUP(H44,$C$89:$E$220,2,FALSE))</f>
        <v/>
      </c>
      <c r="J44" s="19" t="str">
        <f t="shared" ref="J44:J67" si="11">IF(OR(H44=0,H44=""),"",VLOOKUP(H44,$C$89:$E$220,3,FALSE))</f>
        <v/>
      </c>
      <c r="K44" s="21" t="str">
        <f t="shared" ref="K44:K76" si="12">IF(OR(H44=0,H44=""),"",VLOOKUP(H44,$C$89:$F$220,4,FALSE))</f>
        <v/>
      </c>
      <c r="L44" s="23"/>
      <c r="M44" s="17"/>
      <c r="N44" s="17"/>
    </row>
    <row r="45" spans="2:14" ht="15.75" customHeight="1" x14ac:dyDescent="0.15">
      <c r="B45" s="18"/>
      <c r="C45" s="19"/>
      <c r="D45" s="20" t="str">
        <f t="shared" si="7"/>
        <v/>
      </c>
      <c r="E45" s="19" t="str">
        <f t="shared" si="8"/>
        <v/>
      </c>
      <c r="F45" s="21" t="str">
        <f t="shared" si="9"/>
        <v/>
      </c>
      <c r="G45" s="22"/>
      <c r="H45" s="19"/>
      <c r="I45" s="20" t="str">
        <f t="shared" si="10"/>
        <v/>
      </c>
      <c r="J45" s="19" t="str">
        <f t="shared" si="11"/>
        <v/>
      </c>
      <c r="K45" s="21" t="str">
        <f t="shared" si="12"/>
        <v/>
      </c>
      <c r="L45" s="23"/>
      <c r="M45" s="17"/>
      <c r="N45" s="17"/>
    </row>
    <row r="46" spans="2:14" ht="15.75" customHeight="1" x14ac:dyDescent="0.15">
      <c r="B46" s="24"/>
      <c r="C46" s="19"/>
      <c r="D46" s="20" t="str">
        <f t="shared" si="7"/>
        <v/>
      </c>
      <c r="E46" s="19" t="str">
        <f t="shared" si="8"/>
        <v/>
      </c>
      <c r="F46" s="21" t="str">
        <f t="shared" si="9"/>
        <v/>
      </c>
      <c r="G46" s="22"/>
      <c r="H46" s="19"/>
      <c r="I46" s="20" t="str">
        <f t="shared" si="10"/>
        <v/>
      </c>
      <c r="J46" s="19" t="str">
        <f t="shared" si="11"/>
        <v/>
      </c>
      <c r="K46" s="21" t="str">
        <f t="shared" si="12"/>
        <v/>
      </c>
      <c r="L46" s="23"/>
      <c r="M46" s="17"/>
      <c r="N46" s="17"/>
    </row>
    <row r="47" spans="2:14" ht="15.75" customHeight="1" x14ac:dyDescent="0.15">
      <c r="B47" s="24"/>
      <c r="C47" s="19"/>
      <c r="D47" s="20" t="str">
        <f t="shared" si="7"/>
        <v/>
      </c>
      <c r="E47" s="19" t="str">
        <f t="shared" si="8"/>
        <v/>
      </c>
      <c r="F47" s="21" t="str">
        <f t="shared" si="9"/>
        <v/>
      </c>
      <c r="G47" s="22"/>
      <c r="H47" s="19"/>
      <c r="I47" s="20" t="str">
        <f t="shared" si="10"/>
        <v/>
      </c>
      <c r="J47" s="19" t="str">
        <f t="shared" si="11"/>
        <v/>
      </c>
      <c r="K47" s="21" t="str">
        <f t="shared" si="12"/>
        <v/>
      </c>
      <c r="L47" s="23"/>
      <c r="M47" s="17"/>
      <c r="N47" s="17"/>
    </row>
    <row r="48" spans="2:14" ht="15.75" customHeight="1" x14ac:dyDescent="0.15">
      <c r="B48" s="24"/>
      <c r="C48" s="19"/>
      <c r="D48" s="20" t="str">
        <f t="shared" si="7"/>
        <v/>
      </c>
      <c r="E48" s="19" t="str">
        <f t="shared" si="8"/>
        <v/>
      </c>
      <c r="F48" s="21" t="str">
        <f t="shared" si="9"/>
        <v/>
      </c>
      <c r="G48" s="22"/>
      <c r="H48" s="19"/>
      <c r="I48" s="20" t="str">
        <f t="shared" si="10"/>
        <v/>
      </c>
      <c r="J48" s="19" t="str">
        <f t="shared" si="11"/>
        <v/>
      </c>
      <c r="K48" s="21" t="str">
        <f t="shared" si="12"/>
        <v/>
      </c>
      <c r="L48" s="23"/>
      <c r="M48" s="17"/>
      <c r="N48" s="17"/>
    </row>
    <row r="49" spans="2:14" ht="15.75" customHeight="1" x14ac:dyDescent="0.15">
      <c r="B49" s="24"/>
      <c r="C49" s="19"/>
      <c r="D49" s="20" t="str">
        <f t="shared" si="7"/>
        <v/>
      </c>
      <c r="E49" s="19" t="str">
        <f t="shared" si="8"/>
        <v/>
      </c>
      <c r="F49" s="21" t="str">
        <f t="shared" si="9"/>
        <v/>
      </c>
      <c r="G49" s="22"/>
      <c r="H49" s="19"/>
      <c r="I49" s="20" t="str">
        <f t="shared" si="10"/>
        <v/>
      </c>
      <c r="J49" s="19" t="str">
        <f t="shared" si="11"/>
        <v/>
      </c>
      <c r="K49" s="21" t="str">
        <f t="shared" si="12"/>
        <v/>
      </c>
      <c r="L49" s="23"/>
      <c r="M49" s="17"/>
      <c r="N49" s="17"/>
    </row>
    <row r="50" spans="2:14" ht="15.75" customHeight="1" x14ac:dyDescent="0.15">
      <c r="B50" s="24"/>
      <c r="C50" s="19"/>
      <c r="D50" s="20" t="str">
        <f t="shared" si="7"/>
        <v/>
      </c>
      <c r="E50" s="19" t="str">
        <f t="shared" si="8"/>
        <v/>
      </c>
      <c r="F50" s="21" t="str">
        <f t="shared" si="9"/>
        <v/>
      </c>
      <c r="G50" s="22"/>
      <c r="H50" s="19"/>
      <c r="I50" s="20" t="str">
        <f t="shared" si="10"/>
        <v/>
      </c>
      <c r="J50" s="19" t="str">
        <f t="shared" si="11"/>
        <v/>
      </c>
      <c r="K50" s="21" t="str">
        <f t="shared" si="12"/>
        <v/>
      </c>
      <c r="L50" s="23"/>
      <c r="M50" s="17"/>
      <c r="N50" s="17"/>
    </row>
    <row r="51" spans="2:14" ht="15.75" customHeight="1" x14ac:dyDescent="0.15">
      <c r="B51" s="24"/>
      <c r="C51" s="19"/>
      <c r="D51" s="20" t="str">
        <f t="shared" si="7"/>
        <v/>
      </c>
      <c r="E51" s="19" t="str">
        <f t="shared" si="8"/>
        <v/>
      </c>
      <c r="F51" s="21" t="str">
        <f t="shared" si="9"/>
        <v/>
      </c>
      <c r="G51" s="22"/>
      <c r="H51" s="19"/>
      <c r="I51" s="20" t="str">
        <f t="shared" si="10"/>
        <v/>
      </c>
      <c r="J51" s="19" t="str">
        <f t="shared" si="11"/>
        <v/>
      </c>
      <c r="K51" s="21" t="str">
        <f t="shared" si="12"/>
        <v/>
      </c>
      <c r="L51" s="23"/>
      <c r="M51" s="17"/>
      <c r="N51" s="17"/>
    </row>
    <row r="52" spans="2:14" ht="15.75" customHeight="1" x14ac:dyDescent="0.15">
      <c r="B52" s="24"/>
      <c r="C52" s="19"/>
      <c r="D52" s="20" t="str">
        <f t="shared" si="7"/>
        <v/>
      </c>
      <c r="E52" s="19" t="str">
        <f t="shared" si="8"/>
        <v/>
      </c>
      <c r="F52" s="21" t="str">
        <f t="shared" si="9"/>
        <v/>
      </c>
      <c r="G52" s="22"/>
      <c r="H52" s="19"/>
      <c r="I52" s="20" t="str">
        <f t="shared" si="10"/>
        <v/>
      </c>
      <c r="J52" s="19" t="str">
        <f t="shared" si="11"/>
        <v/>
      </c>
      <c r="K52" s="21" t="str">
        <f t="shared" si="12"/>
        <v/>
      </c>
      <c r="L52" s="23"/>
      <c r="M52" s="17"/>
      <c r="N52" s="17"/>
    </row>
    <row r="53" spans="2:14" ht="15.75" customHeight="1" x14ac:dyDescent="0.15">
      <c r="B53" s="24"/>
      <c r="C53" s="19"/>
      <c r="D53" s="20" t="str">
        <f t="shared" si="7"/>
        <v/>
      </c>
      <c r="E53" s="19" t="str">
        <f t="shared" si="8"/>
        <v/>
      </c>
      <c r="F53" s="21" t="str">
        <f t="shared" si="9"/>
        <v/>
      </c>
      <c r="G53" s="25"/>
      <c r="H53" s="19"/>
      <c r="I53" s="20" t="str">
        <f t="shared" si="10"/>
        <v/>
      </c>
      <c r="J53" s="19" t="str">
        <f t="shared" si="11"/>
        <v/>
      </c>
      <c r="K53" s="21" t="str">
        <f t="shared" si="12"/>
        <v/>
      </c>
      <c r="L53" s="23"/>
      <c r="M53" s="17"/>
      <c r="N53" s="17"/>
    </row>
    <row r="54" spans="2:14" ht="15.75" customHeight="1" x14ac:dyDescent="0.15">
      <c r="B54" s="24"/>
      <c r="C54" s="19"/>
      <c r="D54" s="20" t="str">
        <f t="shared" si="7"/>
        <v/>
      </c>
      <c r="E54" s="19" t="str">
        <f t="shared" si="8"/>
        <v/>
      </c>
      <c r="F54" s="21" t="str">
        <f t="shared" si="9"/>
        <v/>
      </c>
      <c r="G54" s="25"/>
      <c r="H54" s="19"/>
      <c r="I54" s="20" t="str">
        <f t="shared" si="10"/>
        <v/>
      </c>
      <c r="J54" s="19" t="str">
        <f t="shared" si="11"/>
        <v/>
      </c>
      <c r="K54" s="21" t="str">
        <f t="shared" si="12"/>
        <v/>
      </c>
      <c r="L54" s="23"/>
      <c r="M54" s="17"/>
      <c r="N54" s="17"/>
    </row>
    <row r="55" spans="2:14" ht="15.75" customHeight="1" x14ac:dyDescent="0.15">
      <c r="B55" s="24"/>
      <c r="C55" s="19"/>
      <c r="D55" s="20" t="str">
        <f t="shared" si="7"/>
        <v/>
      </c>
      <c r="E55" s="19" t="str">
        <f t="shared" si="8"/>
        <v/>
      </c>
      <c r="F55" s="21" t="str">
        <f t="shared" si="9"/>
        <v/>
      </c>
      <c r="G55" s="25"/>
      <c r="H55" s="19"/>
      <c r="I55" s="20" t="str">
        <f t="shared" si="10"/>
        <v/>
      </c>
      <c r="J55" s="19" t="str">
        <f t="shared" si="11"/>
        <v/>
      </c>
      <c r="K55" s="21" t="str">
        <f t="shared" si="12"/>
        <v/>
      </c>
      <c r="L55" s="23"/>
      <c r="M55" s="17"/>
      <c r="N55" s="17"/>
    </row>
    <row r="56" spans="2:14" ht="15.75" customHeight="1" x14ac:dyDescent="0.15">
      <c r="B56" s="24"/>
      <c r="C56" s="19"/>
      <c r="D56" s="20" t="str">
        <f t="shared" si="7"/>
        <v/>
      </c>
      <c r="E56" s="19" t="str">
        <f t="shared" si="8"/>
        <v/>
      </c>
      <c r="F56" s="21" t="str">
        <f t="shared" si="9"/>
        <v/>
      </c>
      <c r="G56" s="22"/>
      <c r="H56" s="19"/>
      <c r="I56" s="20" t="str">
        <f t="shared" si="10"/>
        <v/>
      </c>
      <c r="J56" s="19" t="str">
        <f t="shared" si="11"/>
        <v/>
      </c>
      <c r="K56" s="21" t="str">
        <f t="shared" si="12"/>
        <v/>
      </c>
      <c r="L56" s="23"/>
      <c r="M56" s="17"/>
      <c r="N56" s="17"/>
    </row>
    <row r="57" spans="2:14" ht="15.75" customHeight="1" x14ac:dyDescent="0.15">
      <c r="B57" s="24"/>
      <c r="C57" s="19"/>
      <c r="D57" s="20" t="str">
        <f t="shared" si="7"/>
        <v/>
      </c>
      <c r="E57" s="19" t="str">
        <f t="shared" si="8"/>
        <v/>
      </c>
      <c r="F57" s="21" t="str">
        <f t="shared" si="9"/>
        <v/>
      </c>
      <c r="G57" s="22"/>
      <c r="H57" s="19"/>
      <c r="I57" s="20" t="str">
        <f t="shared" si="10"/>
        <v/>
      </c>
      <c r="J57" s="19" t="str">
        <f t="shared" si="11"/>
        <v/>
      </c>
      <c r="K57" s="21" t="str">
        <f t="shared" si="12"/>
        <v/>
      </c>
      <c r="L57" s="23"/>
      <c r="M57" s="17"/>
      <c r="N57" s="17"/>
    </row>
    <row r="58" spans="2:14" ht="15.75" customHeight="1" x14ac:dyDescent="0.15">
      <c r="B58" s="24"/>
      <c r="C58" s="19"/>
      <c r="D58" s="20" t="str">
        <f t="shared" si="7"/>
        <v/>
      </c>
      <c r="E58" s="19" t="str">
        <f t="shared" si="8"/>
        <v/>
      </c>
      <c r="F58" s="21" t="str">
        <f t="shared" si="9"/>
        <v/>
      </c>
      <c r="G58" s="22"/>
      <c r="H58" s="19"/>
      <c r="I58" s="20" t="str">
        <f t="shared" si="10"/>
        <v/>
      </c>
      <c r="J58" s="19" t="str">
        <f t="shared" si="11"/>
        <v/>
      </c>
      <c r="K58" s="21" t="str">
        <f t="shared" si="12"/>
        <v/>
      </c>
      <c r="L58" s="23"/>
      <c r="M58" s="17"/>
      <c r="N58" s="17"/>
    </row>
    <row r="59" spans="2:14" ht="15.75" customHeight="1" x14ac:dyDescent="0.15">
      <c r="B59" s="24"/>
      <c r="C59" s="19"/>
      <c r="D59" s="20" t="str">
        <f t="shared" si="7"/>
        <v/>
      </c>
      <c r="E59" s="19" t="str">
        <f t="shared" si="8"/>
        <v/>
      </c>
      <c r="F59" s="21" t="str">
        <f t="shared" si="9"/>
        <v/>
      </c>
      <c r="G59" s="25"/>
      <c r="H59" s="19"/>
      <c r="I59" s="20" t="str">
        <f t="shared" si="10"/>
        <v/>
      </c>
      <c r="J59" s="19" t="str">
        <f t="shared" si="11"/>
        <v/>
      </c>
      <c r="K59" s="21" t="str">
        <f t="shared" si="12"/>
        <v/>
      </c>
      <c r="L59" s="23"/>
      <c r="M59" s="17"/>
      <c r="N59" s="17"/>
    </row>
    <row r="60" spans="2:14" ht="15.75" customHeight="1" x14ac:dyDescent="0.15">
      <c r="B60" s="24"/>
      <c r="C60" s="19"/>
      <c r="D60" s="20" t="str">
        <f t="shared" si="7"/>
        <v/>
      </c>
      <c r="E60" s="19" t="str">
        <f t="shared" si="8"/>
        <v/>
      </c>
      <c r="F60" s="21" t="str">
        <f t="shared" si="9"/>
        <v/>
      </c>
      <c r="G60" s="25"/>
      <c r="H60" s="19"/>
      <c r="I60" s="20" t="str">
        <f t="shared" si="10"/>
        <v/>
      </c>
      <c r="J60" s="19" t="str">
        <f t="shared" si="11"/>
        <v/>
      </c>
      <c r="K60" s="21" t="str">
        <f t="shared" si="12"/>
        <v/>
      </c>
      <c r="L60" s="23"/>
      <c r="M60" s="17"/>
      <c r="N60" s="17"/>
    </row>
    <row r="61" spans="2:14" ht="15.75" customHeight="1" x14ac:dyDescent="0.15">
      <c r="B61" s="24"/>
      <c r="C61" s="19"/>
      <c r="D61" s="20" t="str">
        <f t="shared" si="7"/>
        <v/>
      </c>
      <c r="E61" s="19" t="str">
        <f t="shared" si="8"/>
        <v/>
      </c>
      <c r="F61" s="21" t="str">
        <f t="shared" si="9"/>
        <v/>
      </c>
      <c r="G61" s="25"/>
      <c r="H61" s="19"/>
      <c r="I61" s="20" t="str">
        <f t="shared" si="10"/>
        <v/>
      </c>
      <c r="J61" s="19" t="str">
        <f t="shared" si="11"/>
        <v/>
      </c>
      <c r="K61" s="21" t="str">
        <f t="shared" si="12"/>
        <v/>
      </c>
      <c r="L61" s="23"/>
      <c r="M61" s="17"/>
      <c r="N61" s="17"/>
    </row>
    <row r="62" spans="2:14" ht="15.75" customHeight="1" x14ac:dyDescent="0.15">
      <c r="B62" s="24"/>
      <c r="C62" s="19"/>
      <c r="D62" s="20" t="str">
        <f t="shared" si="7"/>
        <v/>
      </c>
      <c r="E62" s="19" t="str">
        <f t="shared" si="8"/>
        <v/>
      </c>
      <c r="F62" s="21" t="str">
        <f t="shared" si="9"/>
        <v/>
      </c>
      <c r="G62" s="22"/>
      <c r="H62" s="19"/>
      <c r="I62" s="20" t="str">
        <f t="shared" si="10"/>
        <v/>
      </c>
      <c r="J62" s="19" t="str">
        <f t="shared" si="11"/>
        <v/>
      </c>
      <c r="K62" s="21" t="str">
        <f t="shared" si="12"/>
        <v/>
      </c>
      <c r="L62" s="23"/>
      <c r="M62" s="17"/>
      <c r="N62" s="17"/>
    </row>
    <row r="63" spans="2:14" ht="15.75" customHeight="1" x14ac:dyDescent="0.15">
      <c r="B63" s="24"/>
      <c r="C63" s="19"/>
      <c r="D63" s="20" t="str">
        <f t="shared" si="7"/>
        <v/>
      </c>
      <c r="E63" s="19" t="str">
        <f t="shared" si="8"/>
        <v/>
      </c>
      <c r="F63" s="21" t="str">
        <f t="shared" si="9"/>
        <v/>
      </c>
      <c r="G63" s="22"/>
      <c r="H63" s="19"/>
      <c r="I63" s="20" t="str">
        <f t="shared" si="10"/>
        <v/>
      </c>
      <c r="J63" s="19" t="str">
        <f t="shared" si="11"/>
        <v/>
      </c>
      <c r="K63" s="21" t="str">
        <f t="shared" si="12"/>
        <v/>
      </c>
      <c r="L63" s="23"/>
      <c r="M63" s="17"/>
      <c r="N63" s="17"/>
    </row>
    <row r="64" spans="2:14" ht="15.75" customHeight="1" x14ac:dyDescent="0.15">
      <c r="B64" s="24"/>
      <c r="C64" s="19"/>
      <c r="D64" s="20" t="str">
        <f t="shared" si="7"/>
        <v/>
      </c>
      <c r="E64" s="19" t="str">
        <f t="shared" si="8"/>
        <v/>
      </c>
      <c r="F64" s="21" t="str">
        <f t="shared" si="9"/>
        <v/>
      </c>
      <c r="G64" s="22"/>
      <c r="H64" s="19"/>
      <c r="I64" s="20" t="str">
        <f t="shared" si="10"/>
        <v/>
      </c>
      <c r="J64" s="19" t="str">
        <f t="shared" si="11"/>
        <v/>
      </c>
      <c r="K64" s="21" t="str">
        <f t="shared" si="12"/>
        <v/>
      </c>
      <c r="L64" s="23"/>
      <c r="M64" s="17"/>
      <c r="N64" s="17"/>
    </row>
    <row r="65" spans="2:14" ht="15.75" customHeight="1" x14ac:dyDescent="0.15">
      <c r="B65" s="24"/>
      <c r="C65" s="19"/>
      <c r="D65" s="20" t="str">
        <f t="shared" si="7"/>
        <v/>
      </c>
      <c r="E65" s="19" t="str">
        <f t="shared" si="8"/>
        <v/>
      </c>
      <c r="F65" s="21" t="str">
        <f t="shared" si="9"/>
        <v/>
      </c>
      <c r="G65" s="22"/>
      <c r="H65" s="19"/>
      <c r="I65" s="20" t="str">
        <f t="shared" si="10"/>
        <v/>
      </c>
      <c r="J65" s="19" t="str">
        <f t="shared" si="11"/>
        <v/>
      </c>
      <c r="K65" s="21" t="str">
        <f t="shared" si="12"/>
        <v/>
      </c>
      <c r="L65" s="23"/>
      <c r="M65" s="17"/>
      <c r="N65" s="17"/>
    </row>
    <row r="66" spans="2:14" ht="15.75" customHeight="1" x14ac:dyDescent="0.15">
      <c r="B66" s="24"/>
      <c r="C66" s="19"/>
      <c r="D66" s="20" t="str">
        <f t="shared" si="7"/>
        <v/>
      </c>
      <c r="E66" s="19" t="str">
        <f t="shared" si="8"/>
        <v/>
      </c>
      <c r="F66" s="21" t="str">
        <f t="shared" si="9"/>
        <v/>
      </c>
      <c r="G66" s="22"/>
      <c r="H66" s="19"/>
      <c r="I66" s="20" t="str">
        <f t="shared" si="10"/>
        <v/>
      </c>
      <c r="J66" s="19" t="str">
        <f t="shared" si="11"/>
        <v/>
      </c>
      <c r="K66" s="21" t="str">
        <f t="shared" si="12"/>
        <v/>
      </c>
      <c r="L66" s="23"/>
      <c r="M66" s="17"/>
      <c r="N66" s="17"/>
    </row>
    <row r="67" spans="2:14" ht="15.75" customHeight="1" x14ac:dyDescent="0.15">
      <c r="B67" s="24"/>
      <c r="C67" s="19"/>
      <c r="D67" s="20" t="str">
        <f t="shared" si="7"/>
        <v/>
      </c>
      <c r="E67" s="19" t="str">
        <f t="shared" si="8"/>
        <v/>
      </c>
      <c r="F67" s="21" t="str">
        <f t="shared" si="9"/>
        <v/>
      </c>
      <c r="G67" s="22"/>
      <c r="H67" s="19"/>
      <c r="I67" s="20" t="str">
        <f t="shared" si="10"/>
        <v/>
      </c>
      <c r="J67" s="19" t="str">
        <f t="shared" si="11"/>
        <v/>
      </c>
      <c r="K67" s="21" t="str">
        <f t="shared" si="12"/>
        <v/>
      </c>
      <c r="L67" s="23"/>
      <c r="M67" s="17"/>
      <c r="N67" s="17"/>
    </row>
    <row r="68" spans="2:14" ht="15.75" customHeight="1" x14ac:dyDescent="0.15">
      <c r="B68" s="24"/>
      <c r="C68" s="19"/>
      <c r="D68" s="20" t="str">
        <f t="shared" si="7"/>
        <v/>
      </c>
      <c r="E68" s="19" t="str">
        <f t="shared" si="8"/>
        <v/>
      </c>
      <c r="F68" s="21" t="str">
        <f t="shared" si="9"/>
        <v/>
      </c>
      <c r="G68" s="22"/>
      <c r="H68" s="19"/>
      <c r="I68" s="20" t="str">
        <f t="shared" si="10"/>
        <v/>
      </c>
      <c r="J68" s="19" t="str">
        <f t="shared" ref="J68:J76" si="13">IF(OR(H68=0,H68=""),"",VLOOKUP(H68,$C$89:$E$220,3,FALSE))</f>
        <v/>
      </c>
      <c r="K68" s="21" t="str">
        <f t="shared" si="12"/>
        <v/>
      </c>
      <c r="L68" s="23"/>
      <c r="M68" s="17"/>
      <c r="N68" s="17"/>
    </row>
    <row r="69" spans="2:14" ht="15.75" customHeight="1" x14ac:dyDescent="0.15">
      <c r="B69" s="24"/>
      <c r="C69" s="19"/>
      <c r="D69" s="20" t="str">
        <f t="shared" si="7"/>
        <v/>
      </c>
      <c r="E69" s="19" t="str">
        <f t="shared" si="8"/>
        <v/>
      </c>
      <c r="F69" s="21" t="str">
        <f t="shared" si="9"/>
        <v/>
      </c>
      <c r="G69" s="22"/>
      <c r="H69" s="19"/>
      <c r="I69" s="20" t="str">
        <f t="shared" si="10"/>
        <v/>
      </c>
      <c r="J69" s="19" t="str">
        <f t="shared" si="13"/>
        <v/>
      </c>
      <c r="K69" s="21" t="str">
        <f t="shared" si="12"/>
        <v/>
      </c>
      <c r="L69" s="23"/>
      <c r="M69" s="17"/>
      <c r="N69" s="17"/>
    </row>
    <row r="70" spans="2:14" ht="15.75" customHeight="1" x14ac:dyDescent="0.15">
      <c r="B70" s="24"/>
      <c r="C70" s="19"/>
      <c r="D70" s="20" t="str">
        <f t="shared" si="7"/>
        <v/>
      </c>
      <c r="E70" s="19" t="str">
        <f t="shared" si="8"/>
        <v/>
      </c>
      <c r="F70" s="21" t="str">
        <f t="shared" si="9"/>
        <v/>
      </c>
      <c r="G70" s="22"/>
      <c r="H70" s="19"/>
      <c r="I70" s="20" t="str">
        <f t="shared" si="10"/>
        <v/>
      </c>
      <c r="J70" s="19" t="str">
        <f t="shared" si="13"/>
        <v/>
      </c>
      <c r="K70" s="21" t="str">
        <f t="shared" si="12"/>
        <v/>
      </c>
      <c r="L70" s="23"/>
      <c r="M70" s="17"/>
      <c r="N70" s="17"/>
    </row>
    <row r="71" spans="2:14" ht="15.75" customHeight="1" x14ac:dyDescent="0.15">
      <c r="B71" s="24"/>
      <c r="C71" s="19"/>
      <c r="D71" s="20" t="str">
        <f t="shared" si="7"/>
        <v/>
      </c>
      <c r="E71" s="19" t="str">
        <f t="shared" si="8"/>
        <v/>
      </c>
      <c r="F71" s="21" t="str">
        <f t="shared" si="9"/>
        <v/>
      </c>
      <c r="G71" s="22"/>
      <c r="H71" s="19"/>
      <c r="I71" s="20" t="str">
        <f t="shared" si="10"/>
        <v/>
      </c>
      <c r="J71" s="19" t="str">
        <f t="shared" si="13"/>
        <v/>
      </c>
      <c r="K71" s="21" t="str">
        <f t="shared" si="12"/>
        <v/>
      </c>
      <c r="L71" s="23"/>
      <c r="M71" s="17"/>
      <c r="N71" s="17"/>
    </row>
    <row r="72" spans="2:14" ht="15.75" customHeight="1" x14ac:dyDescent="0.15">
      <c r="B72" s="24"/>
      <c r="C72" s="19"/>
      <c r="D72" s="20" t="str">
        <f t="shared" si="7"/>
        <v/>
      </c>
      <c r="E72" s="19" t="str">
        <f t="shared" si="8"/>
        <v/>
      </c>
      <c r="F72" s="21" t="str">
        <f t="shared" si="9"/>
        <v/>
      </c>
      <c r="G72" s="22"/>
      <c r="H72" s="19"/>
      <c r="I72" s="20" t="str">
        <f t="shared" si="10"/>
        <v/>
      </c>
      <c r="J72" s="19" t="str">
        <f t="shared" si="13"/>
        <v/>
      </c>
      <c r="K72" s="21" t="str">
        <f t="shared" si="12"/>
        <v/>
      </c>
      <c r="L72" s="23"/>
      <c r="M72" s="17"/>
      <c r="N72" s="17"/>
    </row>
    <row r="73" spans="2:14" ht="15.75" customHeight="1" x14ac:dyDescent="0.15">
      <c r="B73" s="24"/>
      <c r="C73" s="19"/>
      <c r="D73" s="20" t="str">
        <f t="shared" si="7"/>
        <v/>
      </c>
      <c r="E73" s="19" t="str">
        <f t="shared" si="8"/>
        <v/>
      </c>
      <c r="F73" s="21" t="str">
        <f t="shared" si="9"/>
        <v/>
      </c>
      <c r="G73" s="22"/>
      <c r="H73" s="19"/>
      <c r="I73" s="20" t="str">
        <f t="shared" si="10"/>
        <v/>
      </c>
      <c r="J73" s="19" t="str">
        <f t="shared" si="13"/>
        <v/>
      </c>
      <c r="K73" s="21" t="str">
        <f t="shared" si="12"/>
        <v/>
      </c>
      <c r="L73" s="23"/>
      <c r="M73" s="17"/>
      <c r="N73" s="17"/>
    </row>
    <row r="74" spans="2:14" ht="15.75" customHeight="1" x14ac:dyDescent="0.15">
      <c r="B74" s="24"/>
      <c r="C74" s="19"/>
      <c r="D74" s="20" t="str">
        <f t="shared" si="7"/>
        <v/>
      </c>
      <c r="E74" s="19" t="str">
        <f t="shared" si="8"/>
        <v/>
      </c>
      <c r="F74" s="21" t="str">
        <f t="shared" si="9"/>
        <v/>
      </c>
      <c r="G74" s="22"/>
      <c r="H74" s="19"/>
      <c r="I74" s="20" t="str">
        <f t="shared" si="10"/>
        <v/>
      </c>
      <c r="J74" s="19" t="str">
        <f t="shared" si="13"/>
        <v/>
      </c>
      <c r="K74" s="21" t="str">
        <f t="shared" si="12"/>
        <v/>
      </c>
      <c r="L74" s="23"/>
      <c r="M74" s="17"/>
      <c r="N74" s="17"/>
    </row>
    <row r="75" spans="2:14" ht="15.75" customHeight="1" x14ac:dyDescent="0.15">
      <c r="B75" s="24"/>
      <c r="C75" s="19"/>
      <c r="D75" s="20" t="str">
        <f t="shared" si="7"/>
        <v/>
      </c>
      <c r="E75" s="19" t="str">
        <f t="shared" si="8"/>
        <v/>
      </c>
      <c r="F75" s="21" t="str">
        <f t="shared" si="9"/>
        <v/>
      </c>
      <c r="G75" s="22"/>
      <c r="H75" s="19"/>
      <c r="I75" s="20" t="str">
        <f t="shared" si="10"/>
        <v/>
      </c>
      <c r="J75" s="19" t="str">
        <f t="shared" si="13"/>
        <v/>
      </c>
      <c r="K75" s="21" t="str">
        <f t="shared" si="12"/>
        <v/>
      </c>
      <c r="L75" s="23"/>
      <c r="M75" s="17"/>
      <c r="N75" s="17"/>
    </row>
    <row r="76" spans="2:14" ht="15.75" customHeight="1" x14ac:dyDescent="0.15">
      <c r="B76" s="24"/>
      <c r="C76" s="19"/>
      <c r="D76" s="20" t="str">
        <f t="shared" si="7"/>
        <v/>
      </c>
      <c r="E76" s="19" t="str">
        <f t="shared" si="8"/>
        <v/>
      </c>
      <c r="F76" s="21" t="str">
        <f t="shared" si="9"/>
        <v/>
      </c>
      <c r="G76" s="22"/>
      <c r="H76" s="19"/>
      <c r="I76" s="20" t="str">
        <f t="shared" si="10"/>
        <v/>
      </c>
      <c r="J76" s="19" t="str">
        <f t="shared" si="13"/>
        <v/>
      </c>
      <c r="K76" s="21" t="str">
        <f t="shared" si="12"/>
        <v/>
      </c>
      <c r="L76" s="23"/>
      <c r="M76" s="17"/>
      <c r="N76" s="17"/>
    </row>
    <row r="77" spans="2:14" ht="18" customHeight="1" x14ac:dyDescent="0.15">
      <c r="B77" s="26"/>
      <c r="C77" s="27"/>
      <c r="D77" s="28"/>
      <c r="E77" s="27"/>
      <c r="F77" s="27"/>
      <c r="G77" s="29"/>
      <c r="H77" s="27"/>
      <c r="I77" s="28"/>
      <c r="J77" s="27"/>
      <c r="K77" s="27"/>
      <c r="L77" s="30"/>
      <c r="M77" s="17"/>
      <c r="N77" s="17"/>
    </row>
    <row r="78" spans="2:14" ht="18" customHeight="1" x14ac:dyDescent="0.15">
      <c r="B78" s="15"/>
      <c r="C78" s="31"/>
      <c r="D78" s="32"/>
      <c r="E78" s="31"/>
      <c r="F78" s="31"/>
      <c r="G78" s="15"/>
      <c r="H78" s="31"/>
      <c r="I78" s="32"/>
      <c r="J78" s="31"/>
      <c r="K78" s="31"/>
      <c r="L78" s="17"/>
      <c r="M78" s="17"/>
      <c r="N78" s="17"/>
    </row>
    <row r="79" spans="2:14" ht="18" customHeight="1" x14ac:dyDescent="0.15">
      <c r="B79" s="15"/>
      <c r="C79" s="31"/>
      <c r="D79" s="32"/>
      <c r="E79" s="31"/>
      <c r="F79" s="31"/>
      <c r="G79" s="15"/>
      <c r="H79" s="31"/>
      <c r="I79" s="32"/>
      <c r="J79" s="31"/>
      <c r="K79" s="31"/>
      <c r="L79" s="17"/>
      <c r="M79" s="17"/>
      <c r="N79" s="17"/>
    </row>
    <row r="80" spans="2:14" x14ac:dyDescent="0.15">
      <c r="C80" s="31"/>
      <c r="D80" s="32"/>
      <c r="E80" s="31"/>
      <c r="F80" s="31"/>
      <c r="H80" s="31"/>
      <c r="I80" s="32"/>
      <c r="J80" s="31"/>
      <c r="K80" s="31"/>
      <c r="N80" s="17"/>
    </row>
    <row r="81" spans="3:14" x14ac:dyDescent="0.15">
      <c r="C81" s="31"/>
      <c r="D81" s="32"/>
      <c r="E81" s="31"/>
      <c r="F81" s="31"/>
      <c r="H81" s="31"/>
      <c r="I81" s="32"/>
      <c r="J81" s="31"/>
      <c r="K81" s="31"/>
      <c r="N81" s="17"/>
    </row>
    <row r="82" spans="3:14" x14ac:dyDescent="0.15">
      <c r="C82" s="31"/>
      <c r="D82" s="32"/>
      <c r="E82" s="31"/>
      <c r="F82" s="31"/>
      <c r="H82" s="31"/>
      <c r="I82" s="32"/>
      <c r="J82" s="31"/>
      <c r="K82" s="31"/>
      <c r="N82" s="17"/>
    </row>
    <row r="83" spans="3:14" x14ac:dyDescent="0.15">
      <c r="C83" s="31"/>
      <c r="D83" s="32"/>
      <c r="E83" s="31"/>
      <c r="F83" s="31"/>
      <c r="H83" s="31"/>
      <c r="I83" s="32"/>
      <c r="J83" s="31"/>
      <c r="K83" s="31"/>
      <c r="N83" s="17"/>
    </row>
    <row r="84" spans="3:14" x14ac:dyDescent="0.15">
      <c r="C84" s="31"/>
      <c r="D84" s="32"/>
      <c r="E84" s="31"/>
      <c r="F84" s="31"/>
      <c r="H84" s="31"/>
      <c r="I84" s="32"/>
      <c r="J84" s="31"/>
      <c r="K84" s="31"/>
      <c r="N84" s="17"/>
    </row>
    <row r="85" spans="3:14" x14ac:dyDescent="0.15">
      <c r="C85" s="31"/>
      <c r="D85" s="32"/>
      <c r="E85" s="31"/>
      <c r="F85" s="31"/>
      <c r="H85" s="31"/>
      <c r="I85" s="32"/>
      <c r="J85" s="31"/>
      <c r="K85" s="31"/>
      <c r="N85" s="17"/>
    </row>
    <row r="86" spans="3:14" x14ac:dyDescent="0.15">
      <c r="C86" s="31"/>
      <c r="D86" s="32"/>
      <c r="E86" s="31"/>
      <c r="F86" s="31"/>
      <c r="H86" s="31"/>
      <c r="I86" s="32"/>
      <c r="J86" s="31"/>
      <c r="K86" s="31"/>
      <c r="N86" s="17"/>
    </row>
    <row r="87" spans="3:14" x14ac:dyDescent="0.15">
      <c r="C87" s="31"/>
      <c r="D87" s="32"/>
      <c r="E87" s="31"/>
      <c r="F87" s="31"/>
      <c r="H87" s="31"/>
      <c r="I87" s="32"/>
      <c r="J87" s="31"/>
      <c r="K87" s="31"/>
      <c r="N87" s="17"/>
    </row>
    <row r="88" spans="3:14" x14ac:dyDescent="0.15">
      <c r="C88" s="31"/>
      <c r="D88" s="32"/>
      <c r="E88" s="31"/>
      <c r="F88" s="31"/>
      <c r="H88" s="31"/>
      <c r="I88" s="32"/>
      <c r="J88" s="31"/>
      <c r="K88" s="31"/>
      <c r="N88" s="17"/>
    </row>
    <row r="89" spans="3:14" x14ac:dyDescent="0.15">
      <c r="C89" s="46">
        <v>1</v>
      </c>
      <c r="D89" s="47" t="s">
        <v>69</v>
      </c>
      <c r="E89" s="51" t="s">
        <v>66</v>
      </c>
      <c r="F89" s="48"/>
      <c r="H89" s="31"/>
      <c r="I89" s="32"/>
      <c r="J89" s="31"/>
      <c r="K89" s="31"/>
      <c r="N89" s="17"/>
    </row>
    <row r="90" spans="3:14" x14ac:dyDescent="0.15">
      <c r="C90" s="33">
        <f>C89+1</f>
        <v>2</v>
      </c>
      <c r="D90" s="2" t="s">
        <v>70</v>
      </c>
      <c r="E90" s="52" t="s">
        <v>66</v>
      </c>
      <c r="F90" s="34"/>
      <c r="H90" s="31"/>
      <c r="I90" s="32"/>
      <c r="J90" s="31"/>
      <c r="K90" s="31"/>
      <c r="N90" s="17"/>
    </row>
    <row r="91" spans="3:14" x14ac:dyDescent="0.15">
      <c r="C91" s="33">
        <f>C90+1</f>
        <v>3</v>
      </c>
      <c r="D91" s="2" t="s">
        <v>71</v>
      </c>
      <c r="E91" s="53" t="s">
        <v>62</v>
      </c>
      <c r="F91" s="34"/>
      <c r="H91" s="31"/>
      <c r="I91" s="32"/>
      <c r="J91" s="31"/>
      <c r="K91" s="31"/>
      <c r="N91" s="17"/>
    </row>
    <row r="92" spans="3:14" x14ac:dyDescent="0.15">
      <c r="C92" s="33">
        <f>C91+1</f>
        <v>4</v>
      </c>
      <c r="D92" s="2" t="s">
        <v>72</v>
      </c>
      <c r="E92" s="53" t="s">
        <v>73</v>
      </c>
      <c r="F92" s="34"/>
      <c r="H92" s="31"/>
      <c r="I92" s="32"/>
      <c r="J92" s="31"/>
      <c r="K92" s="31"/>
      <c r="N92" s="17"/>
    </row>
    <row r="93" spans="3:14" x14ac:dyDescent="0.15">
      <c r="C93" s="33">
        <f>C92+1</f>
        <v>5</v>
      </c>
      <c r="D93" s="2" t="s">
        <v>74</v>
      </c>
      <c r="E93" s="53" t="s">
        <v>73</v>
      </c>
      <c r="F93" s="34"/>
      <c r="H93" s="31"/>
      <c r="I93" s="32"/>
      <c r="J93" s="31"/>
      <c r="K93" s="31"/>
      <c r="N93" s="17"/>
    </row>
    <row r="94" spans="3:14" x14ac:dyDescent="0.15">
      <c r="C94" s="33">
        <v>6</v>
      </c>
      <c r="D94" s="2" t="s">
        <v>75</v>
      </c>
      <c r="E94" s="53" t="s">
        <v>73</v>
      </c>
      <c r="F94" s="34"/>
      <c r="H94" s="31"/>
      <c r="I94" s="32"/>
      <c r="J94" s="31"/>
      <c r="K94" s="31"/>
      <c r="N94" s="17"/>
    </row>
    <row r="95" spans="3:14" x14ac:dyDescent="0.15">
      <c r="C95" s="33">
        <f t="shared" ref="C95:C130" si="14">C94+1</f>
        <v>7</v>
      </c>
      <c r="D95" s="2" t="s">
        <v>76</v>
      </c>
      <c r="E95" s="52" t="s">
        <v>66</v>
      </c>
      <c r="F95" s="34"/>
      <c r="H95" s="31"/>
      <c r="I95" s="32"/>
      <c r="J95" s="31"/>
      <c r="K95" s="31"/>
      <c r="N95" s="17"/>
    </row>
    <row r="96" spans="3:14" x14ac:dyDescent="0.15">
      <c r="C96" s="33">
        <f t="shared" si="14"/>
        <v>8</v>
      </c>
      <c r="D96" s="2" t="s">
        <v>77</v>
      </c>
      <c r="E96" s="53" t="s">
        <v>73</v>
      </c>
      <c r="F96" s="34"/>
      <c r="H96" s="31"/>
      <c r="I96" s="32"/>
      <c r="J96" s="31"/>
      <c r="K96" s="31"/>
      <c r="N96" s="17"/>
    </row>
    <row r="97" spans="3:10" x14ac:dyDescent="0.15">
      <c r="C97" s="33">
        <f t="shared" si="14"/>
        <v>9</v>
      </c>
      <c r="D97" s="2"/>
      <c r="E97" s="53"/>
      <c r="F97" s="34"/>
      <c r="H97" s="31"/>
      <c r="I97" s="32"/>
      <c r="J97" s="31"/>
    </row>
    <row r="98" spans="3:10" x14ac:dyDescent="0.15">
      <c r="C98" s="33">
        <f t="shared" si="14"/>
        <v>10</v>
      </c>
      <c r="D98" s="2"/>
      <c r="E98" s="53"/>
      <c r="F98" s="34"/>
      <c r="H98" s="31"/>
      <c r="I98" s="32"/>
      <c r="J98" s="31"/>
    </row>
    <row r="99" spans="3:10" x14ac:dyDescent="0.15">
      <c r="C99" s="33">
        <f t="shared" si="14"/>
        <v>11</v>
      </c>
      <c r="D99" s="2"/>
      <c r="E99" s="53"/>
      <c r="F99" s="34"/>
      <c r="H99" s="31"/>
      <c r="I99" s="32"/>
      <c r="J99" s="31"/>
    </row>
    <row r="100" spans="3:10" x14ac:dyDescent="0.15">
      <c r="C100" s="33">
        <f t="shared" si="14"/>
        <v>12</v>
      </c>
      <c r="D100" s="2"/>
      <c r="E100" s="53"/>
      <c r="F100" s="34"/>
      <c r="H100" s="31"/>
      <c r="I100" s="32"/>
      <c r="J100" s="31"/>
    </row>
    <row r="101" spans="3:10" x14ac:dyDescent="0.15">
      <c r="C101" s="33">
        <f t="shared" si="14"/>
        <v>13</v>
      </c>
      <c r="D101" s="2"/>
      <c r="E101" s="53"/>
      <c r="F101" s="34"/>
      <c r="H101" s="31"/>
      <c r="I101" s="32"/>
      <c r="J101" s="31"/>
    </row>
    <row r="102" spans="3:10" x14ac:dyDescent="0.15">
      <c r="C102" s="33">
        <f t="shared" si="14"/>
        <v>14</v>
      </c>
      <c r="D102" s="2"/>
      <c r="E102" s="53"/>
      <c r="F102" s="34"/>
      <c r="H102" s="31"/>
      <c r="I102" s="32"/>
      <c r="J102" s="31"/>
    </row>
    <row r="103" spans="3:10" x14ac:dyDescent="0.15">
      <c r="C103" s="33">
        <f t="shared" si="14"/>
        <v>15</v>
      </c>
      <c r="D103" s="2"/>
      <c r="E103" s="52"/>
      <c r="F103" s="34"/>
      <c r="H103" s="31"/>
      <c r="I103" s="32"/>
      <c r="J103" s="31"/>
    </row>
    <row r="104" spans="3:10" x14ac:dyDescent="0.15">
      <c r="C104" s="33">
        <f t="shared" si="14"/>
        <v>16</v>
      </c>
      <c r="D104" s="2"/>
      <c r="E104" s="52"/>
      <c r="F104" s="34"/>
      <c r="H104" s="31"/>
      <c r="I104" s="32"/>
      <c r="J104" s="31"/>
    </row>
    <row r="105" spans="3:10" x14ac:dyDescent="0.15">
      <c r="C105" s="33">
        <f>C104+1</f>
        <v>17</v>
      </c>
      <c r="D105" s="2"/>
      <c r="E105" s="52"/>
      <c r="F105" s="34"/>
      <c r="H105" s="31"/>
      <c r="I105" s="32"/>
      <c r="J105" s="31"/>
    </row>
    <row r="106" spans="3:10" x14ac:dyDescent="0.15">
      <c r="C106" s="33">
        <f t="shared" si="14"/>
        <v>18</v>
      </c>
      <c r="D106" s="2"/>
      <c r="E106" s="52"/>
      <c r="F106" s="34"/>
      <c r="H106" s="31"/>
      <c r="I106" s="32"/>
      <c r="J106" s="31"/>
    </row>
    <row r="107" spans="3:10" x14ac:dyDescent="0.15">
      <c r="C107" s="33">
        <f t="shared" si="14"/>
        <v>19</v>
      </c>
      <c r="D107" s="2"/>
      <c r="E107" s="52"/>
      <c r="F107" s="34"/>
      <c r="H107" s="31"/>
      <c r="I107" s="32"/>
      <c r="J107" s="31"/>
    </row>
    <row r="108" spans="3:10" x14ac:dyDescent="0.15">
      <c r="C108" s="33">
        <f>C107+1</f>
        <v>20</v>
      </c>
      <c r="D108" s="2"/>
      <c r="E108" s="52"/>
      <c r="F108" s="34"/>
      <c r="H108" s="31"/>
      <c r="I108" s="32"/>
      <c r="J108" s="31"/>
    </row>
    <row r="109" spans="3:10" x14ac:dyDescent="0.15">
      <c r="C109" s="33">
        <f t="shared" si="14"/>
        <v>21</v>
      </c>
      <c r="D109" s="2"/>
      <c r="E109" s="52"/>
      <c r="F109" s="34"/>
      <c r="H109" s="31"/>
      <c r="I109" s="32"/>
      <c r="J109" s="31"/>
    </row>
    <row r="110" spans="3:10" x14ac:dyDescent="0.15">
      <c r="C110" s="33">
        <f t="shared" si="14"/>
        <v>22</v>
      </c>
      <c r="D110" s="2"/>
      <c r="E110" s="52"/>
      <c r="F110" s="34"/>
      <c r="H110" s="31"/>
      <c r="I110" s="32"/>
      <c r="J110" s="31"/>
    </row>
    <row r="111" spans="3:10" x14ac:dyDescent="0.15">
      <c r="C111" s="33">
        <f t="shared" si="14"/>
        <v>23</v>
      </c>
      <c r="D111" s="2"/>
      <c r="E111" s="52"/>
      <c r="F111" s="34"/>
      <c r="H111" s="31"/>
      <c r="I111" s="32"/>
      <c r="J111" s="31"/>
    </row>
    <row r="112" spans="3:10" x14ac:dyDescent="0.15">
      <c r="C112" s="33">
        <f t="shared" si="14"/>
        <v>24</v>
      </c>
      <c r="D112" s="2"/>
      <c r="E112" s="52"/>
      <c r="F112" s="34"/>
      <c r="H112" s="31"/>
      <c r="I112" s="32"/>
      <c r="J112" s="31"/>
    </row>
    <row r="113" spans="3:10" x14ac:dyDescent="0.15">
      <c r="C113" s="33">
        <f t="shared" si="14"/>
        <v>25</v>
      </c>
      <c r="D113" s="2"/>
      <c r="E113" s="52"/>
      <c r="F113" s="34"/>
      <c r="H113" s="31"/>
      <c r="I113" s="32"/>
      <c r="J113" s="31"/>
    </row>
    <row r="114" spans="3:10" x14ac:dyDescent="0.15">
      <c r="C114" s="33">
        <f t="shared" si="14"/>
        <v>26</v>
      </c>
      <c r="D114" s="2"/>
      <c r="E114" s="52"/>
      <c r="F114" s="34"/>
      <c r="H114" s="31"/>
      <c r="I114" s="32"/>
      <c r="J114" s="31"/>
    </row>
    <row r="115" spans="3:10" x14ac:dyDescent="0.15">
      <c r="C115" s="33">
        <f t="shared" si="14"/>
        <v>27</v>
      </c>
      <c r="D115" s="2"/>
      <c r="E115" s="53"/>
      <c r="F115" s="34"/>
      <c r="H115" s="31"/>
      <c r="I115" s="32"/>
      <c r="J115" s="31"/>
    </row>
    <row r="116" spans="3:10" x14ac:dyDescent="0.15">
      <c r="C116" s="33">
        <f t="shared" si="14"/>
        <v>28</v>
      </c>
      <c r="D116" s="2"/>
      <c r="E116" s="53"/>
      <c r="F116" s="34"/>
      <c r="H116" s="31"/>
      <c r="I116" s="32"/>
      <c r="J116" s="31"/>
    </row>
    <row r="117" spans="3:10" x14ac:dyDescent="0.15">
      <c r="C117" s="33">
        <f t="shared" si="14"/>
        <v>29</v>
      </c>
      <c r="D117" s="2"/>
      <c r="E117" s="53"/>
      <c r="F117" s="34"/>
      <c r="H117" s="31"/>
      <c r="I117" s="32"/>
      <c r="J117" s="31"/>
    </row>
    <row r="118" spans="3:10" x14ac:dyDescent="0.15">
      <c r="C118" s="33">
        <f>C117+1</f>
        <v>30</v>
      </c>
      <c r="D118" s="2"/>
      <c r="E118" s="53"/>
      <c r="F118" s="34"/>
      <c r="H118" s="31"/>
      <c r="I118" s="32"/>
      <c r="J118" s="31"/>
    </row>
    <row r="119" spans="3:10" x14ac:dyDescent="0.15">
      <c r="C119" s="33">
        <f t="shared" si="14"/>
        <v>31</v>
      </c>
      <c r="D119" s="2"/>
      <c r="E119" s="52"/>
      <c r="F119" s="34"/>
      <c r="H119" s="31"/>
      <c r="I119" s="32"/>
      <c r="J119" s="31"/>
    </row>
    <row r="120" spans="3:10" x14ac:dyDescent="0.15">
      <c r="C120" s="33">
        <f>C119+1</f>
        <v>32</v>
      </c>
      <c r="D120" s="2"/>
      <c r="E120" s="52"/>
      <c r="F120" s="34"/>
      <c r="H120" s="31"/>
      <c r="I120" s="32"/>
      <c r="J120" s="31"/>
    </row>
    <row r="121" spans="3:10" x14ac:dyDescent="0.15">
      <c r="C121" s="33">
        <f t="shared" si="14"/>
        <v>33</v>
      </c>
      <c r="D121" s="2"/>
      <c r="E121" s="52"/>
      <c r="F121" s="34"/>
      <c r="H121" s="31"/>
      <c r="I121" s="32"/>
      <c r="J121" s="31"/>
    </row>
    <row r="122" spans="3:10" x14ac:dyDescent="0.15">
      <c r="C122" s="33">
        <f>C121+1</f>
        <v>34</v>
      </c>
      <c r="D122" s="2"/>
      <c r="E122" s="52"/>
      <c r="F122" s="34"/>
      <c r="H122" s="31"/>
      <c r="I122" s="32"/>
      <c r="J122" s="31"/>
    </row>
    <row r="123" spans="3:10" x14ac:dyDescent="0.15">
      <c r="C123" s="33">
        <f t="shared" si="14"/>
        <v>35</v>
      </c>
      <c r="D123" s="2"/>
      <c r="E123" s="52"/>
      <c r="F123" s="34"/>
      <c r="H123" s="31"/>
      <c r="I123" s="32"/>
      <c r="J123" s="31"/>
    </row>
    <row r="124" spans="3:10" x14ac:dyDescent="0.15">
      <c r="C124" s="33">
        <f>C123+1</f>
        <v>36</v>
      </c>
      <c r="D124" s="2"/>
      <c r="E124" s="52"/>
      <c r="F124" s="34"/>
      <c r="H124" s="31"/>
      <c r="I124" s="32"/>
      <c r="J124" s="31"/>
    </row>
    <row r="125" spans="3:10" x14ac:dyDescent="0.15">
      <c r="C125" s="33">
        <f t="shared" si="14"/>
        <v>37</v>
      </c>
      <c r="D125" s="2"/>
      <c r="E125" s="52"/>
      <c r="F125" s="34"/>
      <c r="H125" s="31"/>
      <c r="I125" s="32"/>
      <c r="J125" s="31"/>
    </row>
    <row r="126" spans="3:10" x14ac:dyDescent="0.15">
      <c r="C126" s="33">
        <f t="shared" si="14"/>
        <v>38</v>
      </c>
      <c r="D126" s="2"/>
      <c r="E126" s="52"/>
      <c r="F126" s="34"/>
      <c r="H126" s="31"/>
      <c r="I126" s="32"/>
      <c r="J126" s="31"/>
    </row>
    <row r="127" spans="3:10" x14ac:dyDescent="0.15">
      <c r="C127" s="33">
        <f t="shared" si="14"/>
        <v>39</v>
      </c>
      <c r="D127" s="2"/>
      <c r="E127" s="52"/>
      <c r="F127" s="34"/>
      <c r="H127" s="31"/>
      <c r="I127" s="32"/>
      <c r="J127" s="31"/>
    </row>
    <row r="128" spans="3:10" x14ac:dyDescent="0.15">
      <c r="C128" s="33">
        <f t="shared" si="14"/>
        <v>40</v>
      </c>
      <c r="D128" s="2"/>
      <c r="E128" s="52"/>
      <c r="F128" s="34"/>
      <c r="H128" s="31"/>
      <c r="I128" s="32"/>
      <c r="J128" s="31"/>
    </row>
    <row r="129" spans="3:10" x14ac:dyDescent="0.15">
      <c r="C129" s="33">
        <f>C128+1</f>
        <v>41</v>
      </c>
      <c r="D129" s="2"/>
      <c r="E129" s="52"/>
      <c r="F129" s="34"/>
      <c r="H129" s="31"/>
      <c r="I129" s="32"/>
      <c r="J129" s="31"/>
    </row>
    <row r="130" spans="3:10" x14ac:dyDescent="0.15">
      <c r="C130" s="33">
        <f t="shared" si="14"/>
        <v>42</v>
      </c>
      <c r="D130" s="2"/>
      <c r="E130" s="52"/>
      <c r="F130" s="34"/>
      <c r="H130" s="31"/>
      <c r="I130" s="32"/>
      <c r="J130" s="31"/>
    </row>
    <row r="131" spans="3:10" x14ac:dyDescent="0.15">
      <c r="C131" s="33">
        <f>C130+1</f>
        <v>43</v>
      </c>
      <c r="D131" s="2"/>
      <c r="E131" s="53"/>
      <c r="F131" s="34"/>
      <c r="H131" s="31"/>
      <c r="I131" s="32"/>
      <c r="J131" s="31"/>
    </row>
    <row r="132" spans="3:10" x14ac:dyDescent="0.15">
      <c r="C132" s="33">
        <f>C131+1</f>
        <v>44</v>
      </c>
      <c r="D132" s="2"/>
      <c r="E132" s="53"/>
      <c r="F132" s="34"/>
      <c r="H132" s="31"/>
      <c r="I132" s="32"/>
      <c r="J132" s="31"/>
    </row>
    <row r="133" spans="3:10" x14ac:dyDescent="0.15">
      <c r="C133" s="33">
        <f t="shared" ref="C133:C196" si="15">C132+1</f>
        <v>45</v>
      </c>
      <c r="D133" s="2"/>
      <c r="E133" s="53"/>
      <c r="F133" s="34"/>
      <c r="H133" s="31"/>
      <c r="I133" s="32"/>
      <c r="J133" s="31"/>
    </row>
    <row r="134" spans="3:10" x14ac:dyDescent="0.15">
      <c r="C134" s="33">
        <f t="shared" si="15"/>
        <v>46</v>
      </c>
      <c r="D134" s="2"/>
      <c r="E134" s="53"/>
      <c r="F134" s="34"/>
      <c r="H134" s="31"/>
      <c r="I134" s="32"/>
      <c r="J134" s="31"/>
    </row>
    <row r="135" spans="3:10" x14ac:dyDescent="0.15">
      <c r="C135" s="33">
        <f t="shared" si="15"/>
        <v>47</v>
      </c>
      <c r="D135" s="2"/>
      <c r="E135" s="53"/>
      <c r="F135" s="34"/>
      <c r="H135" s="31"/>
      <c r="I135" s="32"/>
      <c r="J135" s="31"/>
    </row>
    <row r="136" spans="3:10" x14ac:dyDescent="0.15">
      <c r="C136" s="33">
        <f t="shared" si="15"/>
        <v>48</v>
      </c>
      <c r="D136" s="2"/>
      <c r="E136" s="53"/>
      <c r="F136" s="34"/>
      <c r="H136" s="31"/>
      <c r="I136" s="32"/>
      <c r="J136" s="31"/>
    </row>
    <row r="137" spans="3:10" x14ac:dyDescent="0.15">
      <c r="C137" s="33">
        <f t="shared" si="15"/>
        <v>49</v>
      </c>
      <c r="D137" s="2"/>
      <c r="E137" s="53"/>
      <c r="F137" s="34"/>
      <c r="H137" s="31"/>
      <c r="I137" s="32"/>
      <c r="J137" s="31"/>
    </row>
    <row r="138" spans="3:10" x14ac:dyDescent="0.15">
      <c r="C138" s="33">
        <f t="shared" si="15"/>
        <v>50</v>
      </c>
      <c r="D138" s="2"/>
      <c r="E138" s="53"/>
      <c r="F138" s="34"/>
      <c r="H138" s="31"/>
      <c r="I138" s="32"/>
      <c r="J138" s="31"/>
    </row>
    <row r="139" spans="3:10" x14ac:dyDescent="0.15">
      <c r="C139" s="33">
        <f>C138+1</f>
        <v>51</v>
      </c>
      <c r="D139" s="2"/>
      <c r="E139" s="53"/>
      <c r="F139" s="34"/>
      <c r="H139" s="31"/>
      <c r="I139" s="32"/>
      <c r="J139" s="31"/>
    </row>
    <row r="140" spans="3:10" x14ac:dyDescent="0.15">
      <c r="C140" s="33">
        <f t="shared" si="15"/>
        <v>52</v>
      </c>
      <c r="D140" s="2"/>
      <c r="E140" s="53"/>
      <c r="F140" s="34"/>
      <c r="H140" s="31"/>
      <c r="I140" s="32"/>
      <c r="J140" s="31"/>
    </row>
    <row r="141" spans="3:10" x14ac:dyDescent="0.15">
      <c r="C141" s="33">
        <f t="shared" si="15"/>
        <v>53</v>
      </c>
      <c r="D141" s="2"/>
      <c r="E141" s="53"/>
      <c r="F141" s="34"/>
      <c r="H141" s="31"/>
      <c r="I141" s="32"/>
      <c r="J141" s="31"/>
    </row>
    <row r="142" spans="3:10" x14ac:dyDescent="0.15">
      <c r="C142" s="33">
        <f t="shared" si="15"/>
        <v>54</v>
      </c>
      <c r="D142" s="40"/>
      <c r="E142" s="53"/>
      <c r="F142" s="34"/>
      <c r="H142" s="31"/>
      <c r="I142" s="32"/>
      <c r="J142" s="31"/>
    </row>
    <row r="143" spans="3:10" x14ac:dyDescent="0.15">
      <c r="C143" s="33">
        <f t="shared" si="15"/>
        <v>55</v>
      </c>
      <c r="D143" s="40"/>
      <c r="E143" s="53"/>
      <c r="F143" s="34"/>
      <c r="H143" s="31"/>
      <c r="I143" s="32"/>
      <c r="J143" s="31"/>
    </row>
    <row r="144" spans="3:10" x14ac:dyDescent="0.15">
      <c r="C144" s="33">
        <f t="shared" si="15"/>
        <v>56</v>
      </c>
      <c r="D144" s="40"/>
      <c r="E144" s="53"/>
      <c r="F144" s="34"/>
      <c r="H144" s="31"/>
      <c r="I144" s="32"/>
      <c r="J144" s="31"/>
    </row>
    <row r="145" spans="3:10" x14ac:dyDescent="0.15">
      <c r="C145" s="33">
        <f t="shared" si="15"/>
        <v>57</v>
      </c>
      <c r="D145" s="40"/>
      <c r="E145" s="53"/>
      <c r="F145" s="34"/>
      <c r="H145" s="31"/>
      <c r="I145" s="32"/>
      <c r="J145" s="31"/>
    </row>
    <row r="146" spans="3:10" x14ac:dyDescent="0.15">
      <c r="C146" s="33">
        <f t="shared" si="15"/>
        <v>58</v>
      </c>
      <c r="D146" s="2"/>
      <c r="E146" s="53"/>
      <c r="F146" s="34"/>
      <c r="H146" s="31"/>
      <c r="I146" s="32"/>
      <c r="J146" s="31"/>
    </row>
    <row r="147" spans="3:10" x14ac:dyDescent="0.15">
      <c r="C147" s="33">
        <f t="shared" si="15"/>
        <v>59</v>
      </c>
      <c r="D147" s="2"/>
      <c r="E147" s="53"/>
      <c r="F147" s="34"/>
      <c r="H147" s="31"/>
      <c r="I147" s="32"/>
      <c r="J147" s="31"/>
    </row>
    <row r="148" spans="3:10" x14ac:dyDescent="0.15">
      <c r="C148" s="33">
        <f t="shared" si="15"/>
        <v>60</v>
      </c>
      <c r="D148" s="2"/>
      <c r="E148" s="52"/>
      <c r="F148" s="34"/>
      <c r="H148" s="31"/>
      <c r="I148" s="32"/>
      <c r="J148" s="31"/>
    </row>
    <row r="149" spans="3:10" x14ac:dyDescent="0.15">
      <c r="C149" s="33">
        <f t="shared" si="15"/>
        <v>61</v>
      </c>
      <c r="D149" s="2"/>
      <c r="E149" s="52"/>
      <c r="F149" s="34"/>
      <c r="H149" s="31"/>
      <c r="I149" s="32"/>
      <c r="J149" s="31"/>
    </row>
    <row r="150" spans="3:10" x14ac:dyDescent="0.15">
      <c r="C150" s="33">
        <f t="shared" si="15"/>
        <v>62</v>
      </c>
      <c r="D150" s="2"/>
      <c r="E150" s="52"/>
      <c r="F150" s="34"/>
      <c r="H150" s="31"/>
      <c r="I150" s="32"/>
      <c r="J150" s="31"/>
    </row>
    <row r="151" spans="3:10" x14ac:dyDescent="0.15">
      <c r="C151" s="33">
        <f t="shared" si="15"/>
        <v>63</v>
      </c>
      <c r="D151" s="2"/>
      <c r="E151" s="52"/>
      <c r="F151" s="34"/>
      <c r="H151" s="31"/>
      <c r="I151" s="32"/>
      <c r="J151" s="31"/>
    </row>
    <row r="152" spans="3:10" x14ac:dyDescent="0.15">
      <c r="C152" s="33">
        <f t="shared" si="15"/>
        <v>64</v>
      </c>
      <c r="D152" s="2"/>
      <c r="E152" s="52"/>
      <c r="F152" s="34"/>
      <c r="H152" s="31"/>
      <c r="I152" s="32"/>
      <c r="J152" s="31"/>
    </row>
    <row r="153" spans="3:10" x14ac:dyDescent="0.15">
      <c r="C153" s="33">
        <f t="shared" si="15"/>
        <v>65</v>
      </c>
      <c r="D153" s="2"/>
      <c r="E153" s="52"/>
      <c r="F153" s="34"/>
      <c r="H153" s="31"/>
      <c r="I153" s="32"/>
      <c r="J153" s="31"/>
    </row>
    <row r="154" spans="3:10" x14ac:dyDescent="0.15">
      <c r="C154" s="33">
        <f t="shared" si="15"/>
        <v>66</v>
      </c>
      <c r="D154" s="2"/>
      <c r="E154" s="52"/>
      <c r="F154" s="34"/>
      <c r="H154" s="31"/>
      <c r="I154" s="32"/>
      <c r="J154" s="31"/>
    </row>
    <row r="155" spans="3:10" x14ac:dyDescent="0.15">
      <c r="C155" s="33">
        <f t="shared" si="15"/>
        <v>67</v>
      </c>
      <c r="D155" s="2"/>
      <c r="E155" s="53"/>
      <c r="F155" s="34"/>
      <c r="H155" s="31"/>
      <c r="I155" s="32"/>
      <c r="J155" s="31"/>
    </row>
    <row r="156" spans="3:10" x14ac:dyDescent="0.15">
      <c r="C156" s="33">
        <f t="shared" si="15"/>
        <v>68</v>
      </c>
      <c r="D156" s="2"/>
      <c r="E156" s="53"/>
      <c r="F156" s="34"/>
      <c r="H156" s="31"/>
      <c r="I156" s="32"/>
      <c r="J156" s="31"/>
    </row>
    <row r="157" spans="3:10" x14ac:dyDescent="0.15">
      <c r="C157" s="33">
        <f t="shared" si="15"/>
        <v>69</v>
      </c>
      <c r="D157" s="2"/>
      <c r="E157" s="53"/>
      <c r="F157" s="34"/>
      <c r="H157" s="31"/>
      <c r="I157" s="32"/>
      <c r="J157" s="31"/>
    </row>
    <row r="158" spans="3:10" x14ac:dyDescent="0.15">
      <c r="C158" s="33">
        <f t="shared" si="15"/>
        <v>70</v>
      </c>
      <c r="D158" s="2"/>
      <c r="E158" s="53"/>
      <c r="F158" s="34"/>
      <c r="H158" s="31"/>
      <c r="I158" s="32"/>
      <c r="J158" s="31"/>
    </row>
    <row r="159" spans="3:10" x14ac:dyDescent="0.15">
      <c r="C159" s="33">
        <f t="shared" si="15"/>
        <v>71</v>
      </c>
      <c r="D159" s="2"/>
      <c r="E159" s="53"/>
      <c r="F159" s="34"/>
      <c r="H159" s="31"/>
      <c r="I159" s="32"/>
      <c r="J159" s="31"/>
    </row>
    <row r="160" spans="3:10" x14ac:dyDescent="0.15">
      <c r="C160" s="33">
        <f t="shared" si="15"/>
        <v>72</v>
      </c>
      <c r="D160" s="2"/>
      <c r="E160" s="53"/>
      <c r="F160" s="34"/>
      <c r="H160" s="31"/>
      <c r="I160" s="32"/>
      <c r="J160" s="31"/>
    </row>
    <row r="161" spans="3:11" x14ac:dyDescent="0.15">
      <c r="C161" s="33">
        <f t="shared" si="15"/>
        <v>73</v>
      </c>
      <c r="D161" s="2"/>
      <c r="E161" s="53"/>
      <c r="F161" s="34"/>
      <c r="H161" s="31"/>
      <c r="I161" s="32"/>
      <c r="J161" s="31"/>
    </row>
    <row r="162" spans="3:11" x14ac:dyDescent="0.15">
      <c r="C162" s="33">
        <f t="shared" si="15"/>
        <v>74</v>
      </c>
      <c r="D162" s="2"/>
      <c r="E162" s="52"/>
      <c r="F162" s="34"/>
      <c r="H162" s="31"/>
      <c r="I162" s="32"/>
      <c r="J162" s="31"/>
    </row>
    <row r="163" spans="3:11" x14ac:dyDescent="0.15">
      <c r="C163" s="33">
        <f t="shared" si="15"/>
        <v>75</v>
      </c>
      <c r="D163" s="2"/>
      <c r="E163" s="52"/>
      <c r="F163" s="34"/>
      <c r="H163" s="31"/>
      <c r="I163" s="32"/>
      <c r="J163" s="31"/>
      <c r="K163" s="35"/>
    </row>
    <row r="164" spans="3:11" x14ac:dyDescent="0.15">
      <c r="C164" s="33">
        <f t="shared" si="15"/>
        <v>76</v>
      </c>
      <c r="D164" s="2"/>
      <c r="E164" s="52"/>
      <c r="F164" s="34"/>
      <c r="H164" s="31"/>
      <c r="I164" s="32"/>
      <c r="J164" s="31"/>
      <c r="K164" s="35"/>
    </row>
    <row r="165" spans="3:11" x14ac:dyDescent="0.15">
      <c r="C165" s="33">
        <f t="shared" si="15"/>
        <v>77</v>
      </c>
      <c r="D165" s="2"/>
      <c r="E165" s="53"/>
      <c r="F165" s="34"/>
      <c r="H165" s="31"/>
      <c r="I165" s="32"/>
      <c r="J165" s="31"/>
      <c r="K165" s="35"/>
    </row>
    <row r="166" spans="3:11" x14ac:dyDescent="0.15">
      <c r="C166" s="33">
        <f t="shared" si="15"/>
        <v>78</v>
      </c>
      <c r="D166" s="2"/>
      <c r="E166" s="53"/>
      <c r="F166" s="34"/>
      <c r="H166" s="31"/>
      <c r="I166" s="32"/>
      <c r="J166" s="31"/>
      <c r="K166" s="35"/>
    </row>
    <row r="167" spans="3:11" x14ac:dyDescent="0.15">
      <c r="C167" s="33">
        <f t="shared" si="15"/>
        <v>79</v>
      </c>
      <c r="D167" s="2"/>
      <c r="E167" s="53"/>
      <c r="F167" s="34"/>
      <c r="H167" s="31"/>
      <c r="I167" s="32"/>
      <c r="J167" s="31"/>
      <c r="K167" s="35"/>
    </row>
    <row r="168" spans="3:11" x14ac:dyDescent="0.15">
      <c r="C168" s="33">
        <f t="shared" si="15"/>
        <v>80</v>
      </c>
      <c r="D168" s="2"/>
      <c r="E168" s="53"/>
      <c r="F168" s="34"/>
      <c r="H168" s="31"/>
      <c r="I168" s="32"/>
      <c r="J168" s="31"/>
      <c r="K168" s="35"/>
    </row>
    <row r="169" spans="3:11" x14ac:dyDescent="0.15">
      <c r="C169" s="33">
        <f t="shared" si="15"/>
        <v>81</v>
      </c>
      <c r="D169" s="2"/>
      <c r="E169" s="53"/>
      <c r="F169" s="34"/>
      <c r="H169" s="31"/>
      <c r="I169" s="32"/>
      <c r="J169" s="31"/>
      <c r="K169" s="35"/>
    </row>
    <row r="170" spans="3:11" x14ac:dyDescent="0.15">
      <c r="C170" s="33">
        <f t="shared" si="15"/>
        <v>82</v>
      </c>
      <c r="D170" s="2"/>
      <c r="E170" s="53"/>
      <c r="F170" s="34"/>
      <c r="H170" s="31"/>
      <c r="I170" s="32"/>
      <c r="J170" s="31"/>
      <c r="K170" s="35"/>
    </row>
    <row r="171" spans="3:11" x14ac:dyDescent="0.15">
      <c r="C171" s="33">
        <f t="shared" si="15"/>
        <v>83</v>
      </c>
      <c r="D171" s="2"/>
      <c r="E171" s="53"/>
      <c r="F171" s="34"/>
      <c r="H171" s="31"/>
      <c r="I171" s="32"/>
      <c r="J171" s="31"/>
      <c r="K171" s="35"/>
    </row>
    <row r="172" spans="3:11" x14ac:dyDescent="0.15">
      <c r="C172" s="33">
        <f t="shared" si="15"/>
        <v>84</v>
      </c>
      <c r="D172" s="2"/>
      <c r="E172" s="52"/>
      <c r="F172" s="34"/>
      <c r="H172" s="31"/>
      <c r="I172" s="32"/>
      <c r="J172" s="31"/>
      <c r="K172" s="35"/>
    </row>
    <row r="173" spans="3:11" x14ac:dyDescent="0.15">
      <c r="C173" s="33">
        <f t="shared" si="15"/>
        <v>85</v>
      </c>
      <c r="D173" s="2"/>
      <c r="E173" s="52"/>
      <c r="F173" s="34"/>
      <c r="H173" s="31"/>
      <c r="I173" s="32"/>
      <c r="J173" s="31"/>
      <c r="K173" s="35"/>
    </row>
    <row r="174" spans="3:11" x14ac:dyDescent="0.15">
      <c r="C174" s="33">
        <f t="shared" si="15"/>
        <v>86</v>
      </c>
      <c r="D174" s="2"/>
      <c r="E174" s="52"/>
      <c r="F174" s="34"/>
      <c r="H174" s="31"/>
      <c r="I174" s="32"/>
      <c r="J174" s="31"/>
      <c r="K174" s="35"/>
    </row>
    <row r="175" spans="3:11" x14ac:dyDescent="0.15">
      <c r="C175" s="33">
        <f t="shared" si="15"/>
        <v>87</v>
      </c>
      <c r="D175" s="2"/>
      <c r="E175" s="52"/>
      <c r="F175" s="34"/>
      <c r="H175" s="31"/>
      <c r="I175" s="32"/>
      <c r="J175" s="31"/>
      <c r="K175" s="35"/>
    </row>
    <row r="176" spans="3:11" x14ac:dyDescent="0.15">
      <c r="C176" s="33">
        <f t="shared" si="15"/>
        <v>88</v>
      </c>
      <c r="D176" s="2"/>
      <c r="E176" s="52"/>
      <c r="F176" s="34"/>
      <c r="H176" s="31"/>
      <c r="I176" s="32"/>
      <c r="J176" s="31"/>
      <c r="K176" s="35"/>
    </row>
    <row r="177" spans="3:13" x14ac:dyDescent="0.15">
      <c r="C177" s="33">
        <f t="shared" si="15"/>
        <v>89</v>
      </c>
      <c r="D177" s="2"/>
      <c r="E177" s="52"/>
      <c r="F177" s="34"/>
      <c r="H177" s="31"/>
      <c r="I177" s="32"/>
      <c r="J177" s="31"/>
      <c r="K177" s="35"/>
    </row>
    <row r="178" spans="3:13" x14ac:dyDescent="0.15">
      <c r="C178" s="33">
        <f t="shared" si="15"/>
        <v>90</v>
      </c>
      <c r="D178" s="2"/>
      <c r="E178" s="52"/>
      <c r="F178" s="34"/>
      <c r="H178" s="31"/>
      <c r="I178" s="32"/>
      <c r="J178" s="31"/>
      <c r="K178" s="35"/>
    </row>
    <row r="179" spans="3:13" x14ac:dyDescent="0.15">
      <c r="C179" s="33">
        <f t="shared" si="15"/>
        <v>91</v>
      </c>
      <c r="D179" s="2"/>
      <c r="E179" s="52"/>
      <c r="F179" s="34"/>
      <c r="H179" s="31"/>
      <c r="I179" s="32"/>
      <c r="J179" s="31"/>
      <c r="K179" s="35"/>
    </row>
    <row r="180" spans="3:13" x14ac:dyDescent="0.15">
      <c r="C180" s="33">
        <f t="shared" si="15"/>
        <v>92</v>
      </c>
      <c r="D180" s="2"/>
      <c r="E180" s="52"/>
      <c r="F180" s="34"/>
      <c r="H180" s="31"/>
      <c r="I180" s="32"/>
      <c r="J180" s="31"/>
      <c r="K180" s="35"/>
    </row>
    <row r="181" spans="3:13" x14ac:dyDescent="0.15">
      <c r="C181" s="33">
        <f t="shared" si="15"/>
        <v>93</v>
      </c>
      <c r="D181" s="2"/>
      <c r="E181" s="52"/>
      <c r="F181" s="34"/>
      <c r="H181" s="31"/>
      <c r="I181" s="32"/>
      <c r="J181" s="31"/>
      <c r="K181" s="35"/>
    </row>
    <row r="182" spans="3:13" x14ac:dyDescent="0.15">
      <c r="C182" s="33">
        <f t="shared" si="15"/>
        <v>94</v>
      </c>
      <c r="D182" s="2"/>
      <c r="E182" s="52"/>
      <c r="F182" s="34"/>
      <c r="H182" s="31"/>
      <c r="I182" s="32"/>
      <c r="J182" s="31"/>
      <c r="K182" s="35"/>
    </row>
    <row r="183" spans="3:13" x14ac:dyDescent="0.15">
      <c r="C183" s="33">
        <f t="shared" si="15"/>
        <v>95</v>
      </c>
      <c r="D183" s="2"/>
      <c r="E183" s="52"/>
      <c r="F183" s="34"/>
      <c r="H183" s="31"/>
      <c r="I183" s="32"/>
      <c r="J183" s="31"/>
    </row>
    <row r="184" spans="3:13" x14ac:dyDescent="0.15">
      <c r="C184" s="33">
        <f t="shared" si="15"/>
        <v>96</v>
      </c>
      <c r="D184" s="2"/>
      <c r="E184" s="53"/>
      <c r="F184" s="34"/>
      <c r="H184" s="31"/>
      <c r="I184" s="32"/>
      <c r="J184" s="31"/>
    </row>
    <row r="185" spans="3:13" x14ac:dyDescent="0.15">
      <c r="C185" s="33">
        <f t="shared" si="15"/>
        <v>97</v>
      </c>
      <c r="D185" s="2"/>
      <c r="E185" s="53"/>
      <c r="F185" s="34"/>
      <c r="H185" s="31"/>
      <c r="I185" s="32"/>
      <c r="J185" s="31"/>
    </row>
    <row r="186" spans="3:13" x14ac:dyDescent="0.15">
      <c r="C186" s="33">
        <f t="shared" si="15"/>
        <v>98</v>
      </c>
      <c r="D186" s="2"/>
      <c r="E186" s="53"/>
      <c r="F186" s="34"/>
      <c r="H186" s="31"/>
      <c r="I186" s="32"/>
      <c r="J186" s="31"/>
    </row>
    <row r="187" spans="3:13" x14ac:dyDescent="0.15">
      <c r="C187" s="33">
        <f t="shared" si="15"/>
        <v>99</v>
      </c>
      <c r="D187" s="2"/>
      <c r="E187" s="53"/>
      <c r="F187" s="34"/>
      <c r="H187" s="31"/>
      <c r="I187" s="32"/>
      <c r="J187" s="31"/>
    </row>
    <row r="188" spans="3:13" x14ac:dyDescent="0.15">
      <c r="C188" s="33">
        <f t="shared" si="15"/>
        <v>100</v>
      </c>
      <c r="D188" s="2"/>
      <c r="E188" s="53"/>
      <c r="F188" s="34"/>
      <c r="H188" s="31"/>
      <c r="I188" s="32"/>
      <c r="J188" s="31"/>
    </row>
    <row r="189" spans="3:13" x14ac:dyDescent="0.15">
      <c r="C189" s="33">
        <f t="shared" si="15"/>
        <v>101</v>
      </c>
      <c r="D189" s="2"/>
      <c r="E189" s="53"/>
      <c r="F189" s="34"/>
      <c r="H189" s="31"/>
      <c r="I189" s="32"/>
      <c r="J189" s="31"/>
      <c r="L189" s="37"/>
      <c r="M189" s="38"/>
    </row>
    <row r="190" spans="3:13" x14ac:dyDescent="0.15">
      <c r="C190" s="33">
        <f t="shared" si="15"/>
        <v>102</v>
      </c>
      <c r="D190" s="2"/>
      <c r="E190" s="53"/>
      <c r="F190" s="34"/>
      <c r="H190" s="31"/>
      <c r="I190" s="32"/>
      <c r="J190" s="31"/>
    </row>
    <row r="191" spans="3:13" x14ac:dyDescent="0.15">
      <c r="C191" s="33">
        <f t="shared" si="15"/>
        <v>103</v>
      </c>
      <c r="D191" s="2"/>
      <c r="E191" s="53"/>
      <c r="F191" s="34"/>
      <c r="H191" s="31"/>
      <c r="I191" s="32"/>
      <c r="J191" s="31"/>
    </row>
    <row r="192" spans="3:13" x14ac:dyDescent="0.15">
      <c r="C192" s="33">
        <f t="shared" si="15"/>
        <v>104</v>
      </c>
      <c r="D192" s="2"/>
      <c r="E192" s="53"/>
      <c r="F192" s="34"/>
      <c r="H192" s="31"/>
      <c r="I192" s="32"/>
      <c r="J192" s="31"/>
    </row>
    <row r="193" spans="3:10" x14ac:dyDescent="0.15">
      <c r="C193" s="33">
        <f t="shared" si="15"/>
        <v>105</v>
      </c>
      <c r="D193" s="2"/>
      <c r="E193" s="53"/>
      <c r="F193" s="34"/>
      <c r="H193" s="31"/>
      <c r="I193" s="32"/>
      <c r="J193" s="31"/>
    </row>
    <row r="194" spans="3:10" x14ac:dyDescent="0.15">
      <c r="C194" s="33">
        <f t="shared" si="15"/>
        <v>106</v>
      </c>
      <c r="D194" s="2"/>
      <c r="E194" s="53"/>
      <c r="F194" s="34"/>
      <c r="H194" s="31"/>
      <c r="I194" s="32"/>
      <c r="J194" s="31"/>
    </row>
    <row r="195" spans="3:10" x14ac:dyDescent="0.15">
      <c r="C195" s="33">
        <f t="shared" si="15"/>
        <v>107</v>
      </c>
      <c r="D195" s="2"/>
      <c r="E195" s="53"/>
      <c r="F195" s="34"/>
      <c r="H195" s="31"/>
      <c r="I195" s="32"/>
      <c r="J195" s="31"/>
    </row>
    <row r="196" spans="3:10" x14ac:dyDescent="0.15">
      <c r="C196" s="33">
        <f t="shared" si="15"/>
        <v>108</v>
      </c>
      <c r="D196" s="2"/>
      <c r="E196" s="54"/>
      <c r="F196" s="36"/>
      <c r="H196" s="31"/>
      <c r="I196" s="32"/>
      <c r="J196" s="31"/>
    </row>
    <row r="197" spans="3:10" x14ac:dyDescent="0.15">
      <c r="C197" s="33">
        <f t="shared" ref="C197:C220" si="16">C196+1</f>
        <v>109</v>
      </c>
      <c r="D197" s="2"/>
      <c r="E197" s="53"/>
      <c r="F197" s="36"/>
      <c r="H197" s="31"/>
      <c r="I197" s="32"/>
      <c r="J197" s="31"/>
    </row>
    <row r="198" spans="3:10" x14ac:dyDescent="0.15">
      <c r="C198" s="33">
        <f t="shared" si="16"/>
        <v>110</v>
      </c>
      <c r="D198" s="2"/>
      <c r="E198" s="54"/>
      <c r="F198" s="36"/>
      <c r="H198" s="31"/>
      <c r="I198" s="32"/>
      <c r="J198" s="31"/>
    </row>
    <row r="199" spans="3:10" x14ac:dyDescent="0.15">
      <c r="C199" s="33">
        <f t="shared" si="16"/>
        <v>111</v>
      </c>
      <c r="D199" s="2"/>
      <c r="E199" s="54"/>
      <c r="F199" s="36"/>
      <c r="H199" s="31"/>
      <c r="I199" s="32"/>
      <c r="J199" s="31"/>
    </row>
    <row r="200" spans="3:10" x14ac:dyDescent="0.15">
      <c r="C200" s="33">
        <f t="shared" si="16"/>
        <v>112</v>
      </c>
      <c r="D200" s="2"/>
      <c r="E200" s="54"/>
      <c r="F200" s="36"/>
      <c r="H200" s="31"/>
      <c r="I200" s="32"/>
      <c r="J200" s="31"/>
    </row>
    <row r="201" spans="3:10" x14ac:dyDescent="0.15">
      <c r="C201" s="33">
        <f t="shared" si="16"/>
        <v>113</v>
      </c>
      <c r="D201" s="2"/>
      <c r="E201" s="54"/>
      <c r="F201" s="36"/>
      <c r="H201" s="31"/>
      <c r="I201" s="32"/>
      <c r="J201" s="31"/>
    </row>
    <row r="202" spans="3:10" x14ac:dyDescent="0.15">
      <c r="C202" s="33">
        <f t="shared" si="16"/>
        <v>114</v>
      </c>
      <c r="D202" s="2"/>
      <c r="E202" s="54"/>
      <c r="F202" s="36"/>
      <c r="H202" s="31"/>
      <c r="I202" s="32"/>
      <c r="J202" s="31"/>
    </row>
    <row r="203" spans="3:10" x14ac:dyDescent="0.15">
      <c r="C203" s="33">
        <f t="shared" si="16"/>
        <v>115</v>
      </c>
      <c r="D203" s="2"/>
      <c r="E203" s="54"/>
      <c r="F203" s="36"/>
      <c r="H203" s="31"/>
      <c r="I203" s="32"/>
      <c r="J203" s="31"/>
    </row>
    <row r="204" spans="3:10" x14ac:dyDescent="0.15">
      <c r="C204" s="33">
        <f t="shared" si="16"/>
        <v>116</v>
      </c>
      <c r="D204" s="2"/>
      <c r="E204" s="54"/>
      <c r="F204" s="36"/>
      <c r="H204" s="31"/>
      <c r="I204" s="32"/>
      <c r="J204" s="31"/>
    </row>
    <row r="205" spans="3:10" x14ac:dyDescent="0.15">
      <c r="C205" s="33">
        <f t="shared" si="16"/>
        <v>117</v>
      </c>
      <c r="D205" s="2"/>
      <c r="E205" s="54"/>
      <c r="F205" s="36"/>
      <c r="H205" s="31"/>
      <c r="I205" s="32"/>
      <c r="J205" s="31"/>
    </row>
    <row r="206" spans="3:10" x14ac:dyDescent="0.15">
      <c r="C206" s="33">
        <f t="shared" si="16"/>
        <v>118</v>
      </c>
      <c r="D206" s="2"/>
      <c r="E206" s="54"/>
      <c r="F206" s="36"/>
      <c r="H206" s="31"/>
      <c r="I206" s="32"/>
      <c r="J206" s="31"/>
    </row>
    <row r="207" spans="3:10" x14ac:dyDescent="0.15">
      <c r="C207" s="33">
        <f t="shared" si="16"/>
        <v>119</v>
      </c>
      <c r="D207" s="2"/>
      <c r="E207" s="53"/>
      <c r="F207" s="34"/>
      <c r="H207" s="31"/>
      <c r="I207" s="32"/>
      <c r="J207" s="31"/>
    </row>
    <row r="208" spans="3:10" x14ac:dyDescent="0.15">
      <c r="C208" s="33">
        <f t="shared" si="16"/>
        <v>120</v>
      </c>
      <c r="D208" s="2"/>
      <c r="E208" s="53"/>
      <c r="F208" s="36"/>
      <c r="H208" s="31"/>
      <c r="I208" s="32"/>
      <c r="J208" s="31"/>
    </row>
    <row r="209" spans="3:10" x14ac:dyDescent="0.15">
      <c r="C209" s="33">
        <f t="shared" si="16"/>
        <v>121</v>
      </c>
      <c r="D209" s="2"/>
      <c r="E209" s="53"/>
      <c r="F209" s="34"/>
      <c r="H209" s="31"/>
      <c r="I209" s="32"/>
      <c r="J209" s="31"/>
    </row>
    <row r="210" spans="3:10" x14ac:dyDescent="0.15">
      <c r="C210" s="33">
        <f t="shared" si="16"/>
        <v>122</v>
      </c>
      <c r="D210" s="2"/>
      <c r="E210" s="54"/>
      <c r="F210" s="34"/>
      <c r="H210" s="31"/>
      <c r="I210" s="32"/>
      <c r="J210" s="31"/>
    </row>
    <row r="211" spans="3:10" x14ac:dyDescent="0.15">
      <c r="C211" s="33">
        <f t="shared" si="16"/>
        <v>123</v>
      </c>
      <c r="D211" s="2"/>
      <c r="E211" s="54"/>
      <c r="F211" s="39"/>
      <c r="H211" s="31"/>
      <c r="I211" s="32"/>
      <c r="J211" s="31"/>
    </row>
    <row r="212" spans="3:10" x14ac:dyDescent="0.15">
      <c r="C212" s="33">
        <f t="shared" si="16"/>
        <v>124</v>
      </c>
      <c r="D212" s="2"/>
      <c r="E212" s="54"/>
      <c r="F212" s="34"/>
      <c r="H212" s="31"/>
      <c r="I212" s="32"/>
      <c r="J212" s="31"/>
    </row>
    <row r="213" spans="3:10" x14ac:dyDescent="0.15">
      <c r="C213" s="33">
        <f t="shared" si="16"/>
        <v>125</v>
      </c>
      <c r="D213" s="2"/>
      <c r="E213" s="53"/>
      <c r="F213" s="39"/>
      <c r="H213" s="31"/>
      <c r="I213" s="32"/>
      <c r="J213" s="31"/>
    </row>
    <row r="214" spans="3:10" x14ac:dyDescent="0.15">
      <c r="C214" s="33">
        <f t="shared" si="16"/>
        <v>126</v>
      </c>
      <c r="D214" s="2"/>
      <c r="E214" s="53"/>
      <c r="F214" s="39"/>
      <c r="H214" s="31"/>
      <c r="I214" s="32"/>
      <c r="J214" s="31"/>
    </row>
    <row r="215" spans="3:10" x14ac:dyDescent="0.15">
      <c r="C215" s="33">
        <f t="shared" si="16"/>
        <v>127</v>
      </c>
      <c r="D215" s="2"/>
      <c r="E215" s="53"/>
      <c r="F215" s="39"/>
      <c r="H215" s="31"/>
      <c r="I215" s="32"/>
      <c r="J215" s="31"/>
    </row>
    <row r="216" spans="3:10" x14ac:dyDescent="0.15">
      <c r="C216" s="33">
        <f t="shared" si="16"/>
        <v>128</v>
      </c>
      <c r="D216" s="2"/>
      <c r="E216" s="53"/>
      <c r="F216" s="34"/>
      <c r="H216" s="31"/>
      <c r="I216" s="32"/>
      <c r="J216" s="31"/>
    </row>
    <row r="217" spans="3:10" x14ac:dyDescent="0.15">
      <c r="C217" s="33">
        <f t="shared" si="16"/>
        <v>129</v>
      </c>
      <c r="D217" s="2"/>
      <c r="E217" s="53"/>
      <c r="F217" s="34"/>
      <c r="H217" s="31"/>
      <c r="I217" s="32"/>
      <c r="J217" s="31"/>
    </row>
    <row r="218" spans="3:10" x14ac:dyDescent="0.15">
      <c r="C218" s="33">
        <f t="shared" si="16"/>
        <v>130</v>
      </c>
      <c r="D218" s="2"/>
      <c r="E218" s="53"/>
      <c r="F218" s="34"/>
      <c r="H218" s="31"/>
      <c r="I218" s="32"/>
      <c r="J218" s="31"/>
    </row>
    <row r="219" spans="3:10" x14ac:dyDescent="0.15">
      <c r="C219" s="33">
        <f t="shared" si="16"/>
        <v>131</v>
      </c>
      <c r="D219" s="2"/>
      <c r="E219" s="53"/>
      <c r="F219" s="34"/>
      <c r="H219" s="31"/>
      <c r="I219" s="32"/>
      <c r="J219" s="31"/>
    </row>
    <row r="220" spans="3:10" x14ac:dyDescent="0.15">
      <c r="C220" s="49">
        <f t="shared" si="16"/>
        <v>132</v>
      </c>
      <c r="D220" s="50"/>
      <c r="E220" s="55"/>
      <c r="F220" s="56"/>
      <c r="H220" s="31"/>
      <c r="I220" s="32"/>
      <c r="J220" s="31"/>
    </row>
  </sheetData>
  <mergeCells count="2">
    <mergeCell ref="C2:K2"/>
    <mergeCell ref="C41:K41"/>
  </mergeCells>
  <phoneticPr fontId="10"/>
  <printOptions horizontalCentered="1" verticalCentered="1"/>
  <pageMargins left="0.31496062992125984" right="0.11811023622047245" top="0.47244094488188981" bottom="0.27559055118110237" header="0.19685039370078741" footer="0.19685039370078741"/>
  <pageSetup paperSize="8" scale="130" orientation="landscape" r:id="rId1"/>
  <headerFooter alignWithMargins="0"/>
  <rowBreaks count="1" manualBreakCount="1">
    <brk id="39" min="1" max="1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F24BE5C0AE6754E9FE5591F5A94CE16" ma:contentTypeVersion="19" ma:contentTypeDescription="新しいドキュメントを作成します。" ma:contentTypeScope="" ma:versionID="00398cca375bb381ffa1b21387fa255b">
  <xsd:schema xmlns:xsd="http://www.w3.org/2001/XMLSchema" xmlns:xs="http://www.w3.org/2001/XMLSchema" xmlns:p="http://schemas.microsoft.com/office/2006/metadata/properties" xmlns:ns2="a1343ede-412d-490e-a863-772d72ab0083" xmlns:ns3="6d9bf656-9988-4c26-9b89-6248169d2743" targetNamespace="http://schemas.microsoft.com/office/2006/metadata/properties" ma:root="true" ma:fieldsID="a6536f697af4d5fe5195c68612b6cb77" ns2:_="" ns3:_="">
    <xsd:import namespace="a1343ede-412d-490e-a863-772d72ab0083"/>
    <xsd:import namespace="6d9bf656-9988-4c26-9b89-6248169d2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343ede-412d-490e-a863-772d72ab0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fd010018-5b22-4eb7-8d21-2656ce93a2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bf656-9988-4c26-9b89-6248169d2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b001a30-f018-40b0-951c-49b4e770f7d6}" ma:internalName="TaxCatchAll" ma:showField="CatchAllData" ma:web="6d9bf656-9988-4c26-9b89-6248169d2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1343ede-412d-490e-a863-772d72ab0083" xsi:nil="true"/>
    <TaxCatchAll xmlns="6d9bf656-9988-4c26-9b89-6248169d2743" xsi:nil="true"/>
    <lcf76f155ced4ddcb4097134ff3c332f xmlns="a1343ede-412d-490e-a863-772d72ab00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27A284-6D6D-4E50-850E-2C6313CBD3FD}"/>
</file>

<file path=customXml/itemProps2.xml><?xml version="1.0" encoding="utf-8"?>
<ds:datastoreItem xmlns:ds="http://schemas.openxmlformats.org/officeDocument/2006/customXml" ds:itemID="{C81250AE-216F-4003-ABDC-54F68ED0D506}"/>
</file>

<file path=customXml/itemProps3.xml><?xml version="1.0" encoding="utf-8"?>
<ds:datastoreItem xmlns:ds="http://schemas.openxmlformats.org/officeDocument/2006/customXml" ds:itemID="{367A0DC2-0185-4CA2-89EA-8E382F8B1C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図面目録(土木施設)</vt:lpstr>
      <vt:lpstr>図面目録(機電設備)</vt:lpstr>
      <vt:lpstr>図面目録(建築施設)</vt:lpstr>
      <vt:lpstr>'図面目録(機電設備)'!Print_Area</vt:lpstr>
      <vt:lpstr>'図面目録(建築施設)'!Print_Area</vt:lpstr>
      <vt:lpstr>'図面目録(土木施設)'!Print_Area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yamada</dc:creator>
  <cp:lastModifiedBy>闖 芦</cp:lastModifiedBy>
  <cp:lastPrinted>2023-11-15T05:22:59Z</cp:lastPrinted>
  <dcterms:created xsi:type="dcterms:W3CDTF">1997-01-08T22:48:59Z</dcterms:created>
  <dcterms:modified xsi:type="dcterms:W3CDTF">2023-12-11T00:42:47Z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0x010100DF24BE5C0AE6754E9FE5591F5A94CE16</vt:lpwstr>
  </property>
</Properties>
</file>