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BB5A8616-25C6-403C-BB31-785A289B70C0}" xr6:coauthVersionLast="47" xr6:coauthVersionMax="47" xr10:uidLastSave="{00000000-0000-0000-0000-000000000000}"/>
  <bookViews>
    <workbookView xWindow="18225" yWindow="1965" windowWidth="19515" windowHeight="17670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5" l="1"/>
  <c r="H32" i="5"/>
  <c r="H33" i="5"/>
  <c r="H34" i="5"/>
  <c r="H35" i="5"/>
  <c r="H36" i="5"/>
  <c r="H37" i="5"/>
  <c r="H38" i="5"/>
  <c r="H39" i="5"/>
  <c r="H40" i="5"/>
  <c r="H41" i="5"/>
  <c r="R19" i="5"/>
  <c r="L8" i="5" s="1"/>
  <c r="R20" i="5"/>
  <c r="L9" i="5" s="1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E16" i="5"/>
  <c r="F16" i="5" s="1"/>
  <c r="H16" i="5" s="1"/>
  <c r="E17" i="5"/>
  <c r="E18" i="5"/>
  <c r="E19" i="5"/>
  <c r="F19" i="5" s="1"/>
  <c r="H19" i="5" s="1"/>
  <c r="E20" i="5"/>
  <c r="E21" i="5"/>
  <c r="F21" i="5" s="1"/>
  <c r="H21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E30" i="5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15" i="5"/>
  <c r="H15" i="5" s="1"/>
  <c r="F17" i="5"/>
  <c r="H17" i="5" s="1"/>
  <c r="F18" i="5"/>
  <c r="H18" i="5" s="1"/>
  <c r="F20" i="5"/>
  <c r="H20" i="5" s="1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<sst xmlns="http://schemas.openxmlformats.org/spreadsheetml/2006/main" count="55" uniqueCount="53">
  <si>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</si>
  <si>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</si>
  <si>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</si>
  <si>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</si>
  <si>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</si>
  <si>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</si>
  <si>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</si>
  <si>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</si>
  <si>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</si>
  <si>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</si>
  <si>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</si>
  <si>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</si>
  <si>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</si>
  <si>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</si>
  <si>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</si>
  <si>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</si>
  <si>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</si>
  <si>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</si>
  <si>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</si>
  <si>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</si>
  <si>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</si>
  <si>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</si>
  <si>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</si>
  <si>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</si>
  <si>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</si>
  <si>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</si>
  <si>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</si>
  <si>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</si>
  <si>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W3</t>
  </si>
  <si>
    <t>W4</t>
  </si>
  <si>
    <t>F3</t>
  </si>
  <si>
    <t>F4</t>
  </si>
  <si>
    <t>F1</t>
    <phoneticPr fontId="1"/>
  </si>
  <si>
    <t>F2</t>
    <phoneticPr fontId="1"/>
  </si>
  <si>
    <t>Fo1</t>
    <phoneticPr fontId="1"/>
  </si>
  <si>
    <t>Fo2</t>
    <phoneticPr fontId="1"/>
  </si>
  <si>
    <t>W1</t>
    <phoneticPr fontId="1"/>
  </si>
  <si>
    <t>W8</t>
  </si>
  <si>
    <t>Wo1</t>
    <phoneticPr fontId="1"/>
  </si>
  <si>
    <t>Fo3</t>
    <phoneticPr fontId="1"/>
  </si>
  <si>
    <t>W2</t>
  </si>
  <si>
    <t>W6</t>
    <phoneticPr fontId="1"/>
  </si>
  <si>
    <t>W7</t>
    <phoneticPr fontId="1"/>
  </si>
  <si>
    <t>W9</t>
  </si>
  <si>
    <t>W10</t>
  </si>
  <si>
    <t>S1</t>
    <phoneticPr fontId="1"/>
  </si>
  <si>
    <t>S2</t>
    <phoneticPr fontId="1"/>
  </si>
  <si>
    <t>S3</t>
    <phoneticPr fontId="1"/>
  </si>
  <si>
    <t>So1</t>
    <phoneticPr fontId="1"/>
  </si>
  <si>
    <t>So2</t>
    <phoneticPr fontId="1"/>
  </si>
  <si>
    <t>川裏翼壁鉄筋質量集計表</t>
    <rPh sb="0" eb="2">
      <t>カワウラ</t>
    </rPh>
    <rPh sb="2" eb="4">
      <t>ヨクヘキ</t>
    </rPh>
    <rPh sb="4" eb="6">
      <t>テッキン</t>
    </rPh>
    <phoneticPr fontId="1"/>
  </si>
  <si>
    <t>F5</t>
    <phoneticPr fontId="1"/>
  </si>
  <si>
    <t>W5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</si>
</sst>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D29" sqref="D29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50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32</v>
      </c>
      <c r="C3" s="9">
        <v>25</v>
      </c>
      <c r="D3" s="10">
        <v>4.92</v>
      </c>
      <c r="E3" s="11">
        <f>IF(C3&lt;&gt;0,VLOOKUP(C3,$P$4:$Q$10,2,0),"")</f>
        <v>3.98</v>
      </c>
      <c r="F3" s="12">
        <f>IF($D3="","",ROUND(PRODUCT($D3,$E3),2))</f>
        <v>19.579999999999998</v>
      </c>
      <c r="G3" s="13">
        <v>33</v>
      </c>
      <c r="H3" s="57">
        <f>IF($G3="","",ROUND(PRODUCT($G3,$F3),0))</f>
        <v>646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33</v>
      </c>
      <c r="C4" s="18">
        <v>13</v>
      </c>
      <c r="D4" s="19">
        <v>2.74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2.73</v>
      </c>
      <c r="G4" s="20">
        <v>16</v>
      </c>
      <c r="H4" s="57">
        <f>IF($G4="","",ROUND(PRODUCT($G4,$F4),0))</f>
        <v>44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30</v>
      </c>
      <c r="C5" s="24">
        <v>13</v>
      </c>
      <c r="D5" s="19">
        <v>1.56</v>
      </c>
      <c r="E5" s="11">
        <f t="shared" si="0"/>
        <v>0.995</v>
      </c>
      <c r="F5" s="12">
        <f t="shared" si="1"/>
        <v>1.55</v>
      </c>
      <c r="G5" s="20">
        <v>49</v>
      </c>
      <c r="H5" s="57">
        <f t="shared" ref="H5:H41" si="2">IF($G5="","",ROUND(PRODUCT($G5,$F5),0))</f>
        <v>76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31</v>
      </c>
      <c r="C6" s="18">
        <v>13</v>
      </c>
      <c r="D6" s="19">
        <v>0.8</v>
      </c>
      <c r="E6" s="11">
        <f t="shared" si="0"/>
        <v>0.995</v>
      </c>
      <c r="F6" s="12">
        <f t="shared" si="1"/>
        <v>0.8</v>
      </c>
      <c r="G6" s="20">
        <v>94</v>
      </c>
      <c r="H6" s="57">
        <f t="shared" si="2"/>
        <v>75</v>
      </c>
      <c r="I6" s="21"/>
      <c r="K6" s="25" t="s">
        <v>7</v>
      </c>
      <c r="L6" s="63">
        <f>R17</f>
        <v>1034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51</v>
      </c>
      <c r="C7" s="18">
        <v>13</v>
      </c>
      <c r="D7" s="19">
        <v>11.85</v>
      </c>
      <c r="E7" s="11">
        <f t="shared" si="0"/>
        <v>0.995</v>
      </c>
      <c r="F7" s="12">
        <f t="shared" si="1"/>
        <v>11.79</v>
      </c>
      <c r="G7" s="20">
        <v>16</v>
      </c>
      <c r="H7" s="57">
        <f t="shared" si="2"/>
        <v>189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34</v>
      </c>
      <c r="C8" s="18">
        <v>13</v>
      </c>
      <c r="D8" s="19">
        <v>0.82</v>
      </c>
      <c r="E8" s="11">
        <f>IF(C8&lt;&gt;0,VLOOKUP(C8,$P$4:$Q$10,2,0),"")</f>
        <v>0.995</v>
      </c>
      <c r="F8" s="12">
        <f>IF($D8="","",ROUND(PRODUCT($D8,$E8),2))</f>
        <v>0.82</v>
      </c>
      <c r="G8" s="20">
        <v>33</v>
      </c>
      <c r="H8" s="57">
        <f>IF($G8="","",ROUND(PRODUCT($G8,$F8),0))</f>
        <v>27</v>
      </c>
      <c r="I8" s="21"/>
      <c r="K8" s="26" t="s">
        <v>9</v>
      </c>
      <c r="L8" s="59">
        <f t="shared" si="3"/>
        <v>0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35</v>
      </c>
      <c r="C9" s="18">
        <v>13</v>
      </c>
      <c r="D9" s="19">
        <v>0.79</v>
      </c>
      <c r="E9" s="11">
        <f>IF(C9&lt;&gt;0,VLOOKUP(C9,$P$4:$Q$10,2,0),"")</f>
        <v>0.995</v>
      </c>
      <c r="F9" s="12">
        <f>IF($D9="","",ROUND(PRODUCT($D9,$E9),2))</f>
        <v>0.79</v>
      </c>
      <c r="G9" s="20">
        <v>12</v>
      </c>
      <c r="H9" s="57">
        <f>IF($G9="","",ROUND(PRODUCT($G9,$F9),0))</f>
        <v>9</v>
      </c>
      <c r="I9" s="21"/>
      <c r="K9" s="26" t="s">
        <v>10</v>
      </c>
      <c r="L9" s="59">
        <f t="shared" si="3"/>
        <v>0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39</v>
      </c>
      <c r="C10" s="18">
        <v>13</v>
      </c>
      <c r="D10" s="19">
        <v>0.78</v>
      </c>
      <c r="E10" s="11">
        <f>IF(C10&lt;&gt;0,VLOOKUP(C10,$P$4:$Q$10,2,0),"")</f>
        <v>0.995</v>
      </c>
      <c r="F10" s="12">
        <f>IF($D10="","",ROUND(PRODUCT($D10,$E10),2))</f>
        <v>0.78</v>
      </c>
      <c r="G10" s="20">
        <v>1</v>
      </c>
      <c r="H10" s="57">
        <f>IF($G10="","",ROUND(PRODUCT($G10,$F10),0))</f>
        <v>1</v>
      </c>
      <c r="I10" s="21"/>
      <c r="K10" s="26" t="s">
        <v>11</v>
      </c>
      <c r="L10" s="61">
        <f t="shared" si="3"/>
        <v>646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36</v>
      </c>
      <c r="C11" s="18">
        <v>13</v>
      </c>
      <c r="D11" s="19">
        <v>1.8</v>
      </c>
      <c r="E11" s="11">
        <f>IF(C11&lt;&gt;0,VLOOKUP(C11,$P$4:$Q$10,2,0),"")</f>
        <v>0.995</v>
      </c>
      <c r="F11" s="12">
        <f>IF($D11="","",ROUND(PRODUCT($D11,$E11),2))</f>
        <v>1.79</v>
      </c>
      <c r="G11" s="20">
        <v>66</v>
      </c>
      <c r="H11" s="57">
        <f>IF($G11="","",ROUND(PRODUCT($G11,$F11),0))</f>
        <v>118</v>
      </c>
      <c r="I11" s="21"/>
      <c r="K11" s="25" t="s">
        <v>26</v>
      </c>
      <c r="L11" s="63">
        <f t="shared" si="3"/>
        <v>646</v>
      </c>
      <c r="M11" s="64"/>
      <c r="N11" s="15"/>
    </row>
    <row r="12" spans="2:17" ht="12" customHeight="1" x14ac:dyDescent="0.15">
      <c r="B12" s="8" t="s">
        <v>40</v>
      </c>
      <c r="C12" s="18">
        <v>13</v>
      </c>
      <c r="D12" s="19">
        <v>0.65</v>
      </c>
      <c r="E12" s="11">
        <f>IF(C12&lt;&gt;0,VLOOKUP(C12,$P$4:$Q$10,2,0),"")</f>
        <v>0.995</v>
      </c>
      <c r="F12" s="12">
        <f>IF($D12="","",ROUND(PRODUCT($D12,$E12),2))</f>
        <v>0.65</v>
      </c>
      <c r="G12" s="20">
        <v>32</v>
      </c>
      <c r="H12" s="57">
        <f>IF($G12="","",ROUND(PRODUCT($G12,$F12),0))</f>
        <v>21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 t="s">
        <v>28</v>
      </c>
      <c r="C13" s="18">
        <v>13</v>
      </c>
      <c r="D13" s="19">
        <v>0.55000000000000004</v>
      </c>
      <c r="E13" s="11">
        <f>IF(C13&lt;&gt;0,VLOOKUP(C13,$P$4:$Q$10,2,0),"")</f>
        <v>0.995</v>
      </c>
      <c r="F13" s="12">
        <f>IF($D13="","",ROUND(PRODUCT($D13,$E13),2))</f>
        <v>0.55000000000000004</v>
      </c>
      <c r="G13" s="20">
        <v>98</v>
      </c>
      <c r="H13" s="57">
        <f>IF($G13="","",ROUND(PRODUCT($G13,$F13),0))</f>
        <v>54</v>
      </c>
      <c r="I13" s="21"/>
      <c r="K13" s="25" t="s">
        <v>6</v>
      </c>
      <c r="L13" s="63">
        <f>R26</f>
        <v>1680</v>
      </c>
      <c r="M13" s="64"/>
      <c r="N13" s="15"/>
    </row>
    <row r="14" spans="2:17" ht="12" customHeight="1" x14ac:dyDescent="0.15">
      <c r="B14" s="8" t="s">
        <v>29</v>
      </c>
      <c r="C14" s="18">
        <v>13</v>
      </c>
      <c r="D14" s="19">
        <v>4.32</v>
      </c>
      <c r="E14" s="11">
        <f>IF(C14&lt;&gt;0,VLOOKUP(C14,$P$4:$Q$10,2,0),"")</f>
        <v>0.995</v>
      </c>
      <c r="F14" s="12">
        <f>IF($D14="","",ROUND(PRODUCT($D14,$E14),2))</f>
        <v>4.3</v>
      </c>
      <c r="G14" s="20">
        <v>40</v>
      </c>
      <c r="H14" s="57">
        <f>IF($G14="","",ROUND(PRODUCT($G14,$F14),0))</f>
        <v>172</v>
      </c>
      <c r="I14" s="21"/>
      <c r="N14" s="15"/>
    </row>
    <row r="15" spans="2:17" ht="12" customHeight="1" x14ac:dyDescent="0.15">
      <c r="B15" s="8" t="s">
        <v>52</v>
      </c>
      <c r="C15" s="18">
        <v>13</v>
      </c>
      <c r="D15" s="19">
        <v>11.85</v>
      </c>
      <c r="E15" s="11">
        <f>IF(C15&lt;&gt;0,VLOOKUP(C15,$P$4:$Q$10,2,0),"")</f>
        <v>0.995</v>
      </c>
      <c r="F15" s="12">
        <f>IF($D15="","",ROUND(PRODUCT($D15,$E15),2))</f>
        <v>11.79</v>
      </c>
      <c r="G15" s="20">
        <v>4</v>
      </c>
      <c r="H15" s="57">
        <f>IF($G15="","",ROUND(PRODUCT($G15,$F15),0))</f>
        <v>47</v>
      </c>
      <c r="I15" s="21"/>
      <c r="N15" s="15"/>
    </row>
    <row r="16" spans="2:17" ht="12" customHeight="1" x14ac:dyDescent="0.15">
      <c r="B16" s="8" t="s">
        <v>41</v>
      </c>
      <c r="C16" s="18">
        <v>13</v>
      </c>
      <c r="D16" s="19">
        <v>4.25</v>
      </c>
      <c r="E16" s="11">
        <f>IF(C16&lt;&gt;0,VLOOKUP(C16,$P$4:$Q$10,2,0),"")</f>
        <v>0.995</v>
      </c>
      <c r="F16" s="12">
        <f>IF($D16="","",ROUND(PRODUCT($D16,$E16),2))</f>
        <v>4.2300000000000004</v>
      </c>
      <c r="G16" s="20">
        <v>8</v>
      </c>
      <c r="H16" s="57">
        <f>IF($G16="","",ROUND(PRODUCT($G16,$F16),0))</f>
        <v>34</v>
      </c>
      <c r="I16" s="21"/>
      <c r="N16" s="15"/>
      <c r="P16" s="1" t="s">
        <v>20</v>
      </c>
    </row>
    <row r="17" spans="2:18" ht="12" customHeight="1" x14ac:dyDescent="0.15">
      <c r="B17" s="8" t="s">
        <v>42</v>
      </c>
      <c r="C17" s="18">
        <v>13</v>
      </c>
      <c r="D17" s="19">
        <v>8.75</v>
      </c>
      <c r="E17" s="11">
        <f>IF(C17&lt;&gt;0,VLOOKUP(C17,$P$4:$Q$10,2,0),"")</f>
        <v>0.995</v>
      </c>
      <c r="F17" s="12">
        <f>IF($D17="","",ROUND(PRODUCT($D17,$E17),2))</f>
        <v>8.7100000000000009</v>
      </c>
      <c r="G17" s="20">
        <v>4</v>
      </c>
      <c r="H17" s="57">
        <f>IF($G17="","",ROUND(PRODUCT($G17,$F17),0))</f>
        <v>35</v>
      </c>
      <c r="I17" s="21"/>
      <c r="N17" s="15"/>
      <c r="P17" s="28" t="s">
        <v>13</v>
      </c>
      <c r="Q17" s="29"/>
      <c r="R17" s="53">
        <f>SUMIF($C$3:$C$41,"13",$H$3:$H$41)</f>
        <v>1034</v>
      </c>
    </row>
    <row r="18" spans="2:18" ht="12" customHeight="1" x14ac:dyDescent="0.15">
      <c r="B18" s="8" t="s">
        <v>37</v>
      </c>
      <c r="C18" s="18">
        <v>13</v>
      </c>
      <c r="D18" s="19">
        <v>1.04</v>
      </c>
      <c r="E18" s="11">
        <f>IF(C18&lt;&gt;0,VLOOKUP(C18,$P$4:$Q$10,2,0),"")</f>
        <v>0.995</v>
      </c>
      <c r="F18" s="12">
        <f>IF($D18="","",ROUND(PRODUCT($D18,$E18),2))</f>
        <v>1.03</v>
      </c>
      <c r="G18" s="20">
        <v>5</v>
      </c>
      <c r="H18" s="57">
        <f>IF($G18="","",ROUND(PRODUCT($G18,$F18),0))</f>
        <v>5</v>
      </c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 t="s">
        <v>43</v>
      </c>
      <c r="C19" s="18">
        <v>13</v>
      </c>
      <c r="D19" s="19">
        <v>1.04</v>
      </c>
      <c r="E19" s="11">
        <f>IF(C19&lt;&gt;0,VLOOKUP(C19,$P$4:$Q$10,2,0),"")</f>
        <v>0.995</v>
      </c>
      <c r="F19" s="12">
        <f>IF($D19="","",ROUND(PRODUCT($D19,$E19),2))</f>
        <v>1.03</v>
      </c>
      <c r="G19" s="20">
        <v>5</v>
      </c>
      <c r="H19" s="57">
        <f>IF($G19="","",ROUND(PRODUCT($G19,$F19),0))</f>
        <v>5</v>
      </c>
      <c r="I19" s="21"/>
      <c r="N19" s="15"/>
      <c r="P19" s="30" t="s">
        <v>15</v>
      </c>
      <c r="Q19" s="32"/>
      <c r="R19" s="55">
        <f>SUMIF($C$3:$C$41,"19",$H$3:$H$41)</f>
        <v>0</v>
      </c>
    </row>
    <row r="20" spans="2:18" ht="11.25" customHeight="1" x14ac:dyDescent="0.15">
      <c r="B20" s="8" t="s">
        <v>44</v>
      </c>
      <c r="C20" s="18">
        <v>13</v>
      </c>
      <c r="D20" s="19">
        <v>1.56</v>
      </c>
      <c r="E20" s="11">
        <f>IF(C20&lt;&gt;0,VLOOKUP(C20,$P$4:$Q$10,2,0),"")</f>
        <v>0.995</v>
      </c>
      <c r="F20" s="12">
        <f>IF($D20="","",ROUND(PRODUCT($D20,$E20),2))</f>
        <v>1.55</v>
      </c>
      <c r="G20" s="20">
        <v>6</v>
      </c>
      <c r="H20" s="57">
        <f>IF($G20="","",ROUND(PRODUCT($G20,$F20),0))</f>
        <v>9</v>
      </c>
      <c r="I20" s="21"/>
      <c r="N20" s="15"/>
      <c r="P20" s="30" t="s">
        <v>16</v>
      </c>
      <c r="Q20" s="32"/>
      <c r="R20" s="55">
        <f>SUMIF($C$3:$C$41,"22",$H$3:$H$41)</f>
        <v>0</v>
      </c>
    </row>
    <row r="21" spans="2:18" ht="12" customHeight="1" x14ac:dyDescent="0.15">
      <c r="B21" s="8" t="s">
        <v>38</v>
      </c>
      <c r="C21" s="18">
        <v>13</v>
      </c>
      <c r="D21" s="19">
        <v>0.42</v>
      </c>
      <c r="E21" s="11">
        <f>IF(C21&lt;&gt;0,VLOOKUP(C21,$P$4:$Q$10,2,0),"")</f>
        <v>0.995</v>
      </c>
      <c r="F21" s="12">
        <f>IF($D21="","",ROUND(PRODUCT($D21,$E21),2))</f>
        <v>0.42</v>
      </c>
      <c r="G21" s="20">
        <v>41</v>
      </c>
      <c r="H21" s="57">
        <f>IF($G21="","",ROUND(PRODUCT($G21,$F21),0))</f>
        <v>17</v>
      </c>
      <c r="I21" s="21"/>
      <c r="N21" s="15"/>
      <c r="P21" s="30" t="s">
        <v>17</v>
      </c>
      <c r="Q21" s="32"/>
      <c r="R21" s="55">
        <f>SUMIF($C$3:$C$41,"25",$H$3:$H$41)</f>
        <v>646</v>
      </c>
    </row>
    <row r="22" spans="2:18" ht="12" customHeight="1" x14ac:dyDescent="0.15">
      <c r="B22" s="8" t="s">
        <v>45</v>
      </c>
      <c r="C22" s="18">
        <v>13</v>
      </c>
      <c r="D22" s="19">
        <v>0.93</v>
      </c>
      <c r="E22" s="11">
        <f>IF(C22&lt;&gt;0,VLOOKUP(C22,$P$4:$Q$10,2,0),"")</f>
        <v>0.995</v>
      </c>
      <c r="F22" s="12">
        <f>IF($D22="","",ROUND(PRODUCT($D22,$E22),2))</f>
        <v>0.93</v>
      </c>
      <c r="G22" s="20">
        <v>56</v>
      </c>
      <c r="H22" s="57">
        <f>IF($G22="","",ROUND(PRODUCT($G22,$F22),0))</f>
        <v>52</v>
      </c>
      <c r="I22" s="21"/>
      <c r="N22" s="15"/>
      <c r="P22" s="28" t="s">
        <v>25</v>
      </c>
      <c r="Q22" s="29"/>
      <c r="R22" s="53">
        <f>SUM(R18:R21)</f>
        <v>646</v>
      </c>
    </row>
    <row r="23" spans="2:18" ht="12" customHeight="1" x14ac:dyDescent="0.15">
      <c r="B23" s="8" t="s">
        <v>46</v>
      </c>
      <c r="C23" s="18">
        <v>13</v>
      </c>
      <c r="D23" s="19">
        <v>2.56</v>
      </c>
      <c r="E23" s="11">
        <f>IF(C23&lt;&gt;0,VLOOKUP(C23,$P$4:$Q$10,2,0),"")</f>
        <v>0.995</v>
      </c>
      <c r="F23" s="12">
        <f>IF($D23="","",ROUND(PRODUCT($D23,$E23),2))</f>
        <v>2.5499999999999998</v>
      </c>
      <c r="G23" s="20">
        <v>12</v>
      </c>
      <c r="H23" s="57">
        <f>IF($G23="","",ROUND(PRODUCT($G23,$F23),0))</f>
        <v>31</v>
      </c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 t="s">
        <v>47</v>
      </c>
      <c r="C24" s="18">
        <v>13</v>
      </c>
      <c r="D24" s="19">
        <v>1.56</v>
      </c>
      <c r="E24" s="11">
        <f>IF(C24&lt;&gt;0,VLOOKUP(C24,$P$4:$Q$10,2,0),"")</f>
        <v>0.995</v>
      </c>
      <c r="F24" s="12">
        <f>IF($D24="","",ROUND(PRODUCT($D24,$E24),2))</f>
        <v>1.55</v>
      </c>
      <c r="G24" s="20">
        <v>6</v>
      </c>
      <c r="H24" s="57">
        <f>IF($G24="","",ROUND(PRODUCT($G24,$F24),0))</f>
        <v>9</v>
      </c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 t="s">
        <v>48</v>
      </c>
      <c r="C25" s="18">
        <v>13</v>
      </c>
      <c r="D25" s="19">
        <v>0.59</v>
      </c>
      <c r="E25" s="11">
        <f>IF(C25&lt;&gt;0,VLOOKUP(C25,$P$4:$Q$10,2,0),"")</f>
        <v>0.995</v>
      </c>
      <c r="F25" s="12">
        <f>IF($D25="","",ROUND(PRODUCT($D25,$E25),2))</f>
        <v>0.59</v>
      </c>
      <c r="G25" s="20">
        <v>2</v>
      </c>
      <c r="H25" s="57">
        <f>IF($G25="","",ROUND(PRODUCT($G25,$F25),0))</f>
        <v>1</v>
      </c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 t="s">
        <v>49</v>
      </c>
      <c r="C26" s="18">
        <v>13</v>
      </c>
      <c r="D26" s="19">
        <v>0.39</v>
      </c>
      <c r="E26" s="11">
        <f>IF(C26&lt;&gt;0,VLOOKUP(C26,$P$4:$Q$10,2,0),"")</f>
        <v>0.995</v>
      </c>
      <c r="F26" s="12">
        <f>IF($D26="","",ROUND(PRODUCT($D26,$E26),2))</f>
        <v>0.39</v>
      </c>
      <c r="G26" s="20">
        <v>8</v>
      </c>
      <c r="H26" s="57">
        <f>IF($G26="","",ROUND(PRODUCT($G26,$F26),0))</f>
        <v>3</v>
      </c>
      <c r="I26" s="21"/>
      <c r="N26" s="15"/>
      <c r="P26" s="28" t="s">
        <v>6</v>
      </c>
      <c r="Q26" s="29"/>
      <c r="R26" s="53">
        <f>SUM(R17,R22,R23,R24)</f>
        <v>1680</v>
      </c>
    </row>
    <row r="27" spans="2:18" ht="12" customHeight="1" x14ac:dyDescent="0.15">
      <c r="B27" s="8"/>
      <c r="C27" s="18"/>
      <c r="D27" s="18"/>
      <c r="E27" s="18"/>
      <c r="F27" s="18"/>
      <c r="G27" s="18"/>
      <c r="H27" s="18"/>
      <c r="I27" s="21"/>
      <c r="N27" s="15"/>
    </row>
    <row r="28" spans="2:18" ht="12" customHeight="1" x14ac:dyDescent="0.15">
      <c r="B28" s="8"/>
      <c r="C28" s="18"/>
      <c r="D28" s="18"/>
      <c r="E28" s="18"/>
      <c r="F28" s="18"/>
      <c r="G28" s="18"/>
      <c r="H28" s="18"/>
      <c r="I28" s="21"/>
      <c r="N28" s="15"/>
    </row>
    <row r="29" spans="2:18" ht="12" customHeight="1" x14ac:dyDescent="0.15">
      <c r="B29" s="8"/>
      <c r="C29" s="18"/>
      <c r="D29" s="18"/>
      <c r="E29" s="18"/>
      <c r="F29" s="18"/>
      <c r="G29" s="18"/>
      <c r="H29" s="18"/>
      <c r="I29" s="21"/>
      <c r="N29" s="15"/>
    </row>
    <row r="30" spans="2:18" ht="12" customHeight="1" x14ac:dyDescent="0.15">
      <c r="B30" s="8"/>
      <c r="C30" s="18"/>
      <c r="D30" s="19"/>
      <c r="E30" s="18" t="str">
        <f t="shared" si="0"/>
        <v/>
      </c>
      <c r="F30" s="18"/>
      <c r="G30" s="18"/>
      <c r="H30" s="18"/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B1E03D-47CA-4C28-A87E-274E0C3738F2}"/>
</file>

<file path=customXml/itemProps2.xml><?xml version="1.0" encoding="utf-8"?>
<ds:datastoreItem xmlns:ds="http://schemas.openxmlformats.org/officeDocument/2006/customXml" ds:itemID="{4A48E748-2B02-4E05-AB13-356EA80CA067}"/>
</file>

<file path=customXml/itemProps3.xml><?xml version="1.0" encoding="utf-8"?>
<ds:datastoreItem xmlns:ds="http://schemas.openxmlformats.org/officeDocument/2006/customXml" ds:itemID="{4AB491F5-9F36-4412-91D4-813316A36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astellas</dc:creator>
  <cp:lastModifiedBy>闖 芦</cp:lastModifiedBy>
  <cp:lastPrinted>2023-11-14T02:44:53Z</cp:lastPrinted>
  <dcterms:created xsi:type="dcterms:W3CDTF">1998-08-18T10:30:39Z</dcterms:created>
  <dcterms:modified xsi:type="dcterms:W3CDTF">2023-12-04T04:40:03Z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