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c\LC作業\2023.06.15_塩崎・平和橋\③(アステラス)蓮樋管設計\231201_【塩崎】数量\鉄筋質量表\"/>
    </mc:Choice>
  </mc:AlternateContent>
  <xr:revisionPtr revIDLastSave="0" documentId="13_ncr:1_{BB5A8616-25C6-403C-BB31-785A289B70C0}" xr6:coauthVersionLast="47" xr6:coauthVersionMax="47" xr10:uidLastSave="{00000000-0000-0000-0000-000000000000}"/>
  <bookViews>
    <workbookView xWindow="18225" yWindow="1965" windowWidth="19515" windowHeight="17670" xr2:uid="{00000000-000D-0000-FFFF-FFFF00000000}"/>
  </bookViews>
  <sheets>
    <sheet name="重量表" sheetId="5" r:id="rId1"/>
  </sheets>
  <definedNames>
    <definedName name="_xlnm.Print_Area" localSheetId="0">重量表!$A$1:$O$44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5" l="1"/>
  <c r="H32" i="5"/>
  <c r="H33" i="5"/>
  <c r="H34" i="5"/>
  <c r="H35" i="5"/>
  <c r="H36" i="5"/>
  <c r="H37" i="5"/>
  <c r="H38" i="5"/>
  <c r="H39" i="5"/>
  <c r="H40" i="5"/>
  <c r="H41" i="5"/>
  <c r="R19" i="5"/>
  <c r="L8" i="5" s="1"/>
  <c r="R20" i="5"/>
  <c r="L9" i="5" s="1"/>
  <c r="R23" i="5"/>
  <c r="L12" i="5" s="1"/>
  <c r="R24" i="5"/>
  <c r="E4" i="5"/>
  <c r="F4" i="5" s="1"/>
  <c r="H4" i="5" s="1"/>
  <c r="E5" i="5"/>
  <c r="F5" i="5" s="1"/>
  <c r="H5" i="5" s="1"/>
  <c r="E6" i="5"/>
  <c r="F6" i="5" s="1"/>
  <c r="H6" i="5" s="1"/>
  <c r="E7" i="5"/>
  <c r="F7" i="5" s="1"/>
  <c r="H7" i="5" s="1"/>
  <c r="E8" i="5"/>
  <c r="F8" i="5" s="1"/>
  <c r="H8" i="5" s="1"/>
  <c r="E9" i="5"/>
  <c r="F9" i="5" s="1"/>
  <c r="H9" i="5" s="1"/>
  <c r="E10" i="5"/>
  <c r="F10" i="5" s="1"/>
  <c r="H10" i="5" s="1"/>
  <c r="E11" i="5"/>
  <c r="F11" i="5" s="1"/>
  <c r="H11" i="5" s="1"/>
  <c r="E12" i="5"/>
  <c r="F12" i="5" s="1"/>
  <c r="H12" i="5" s="1"/>
  <c r="E13" i="5"/>
  <c r="F13" i="5" s="1"/>
  <c r="H13" i="5" s="1"/>
  <c r="E14" i="5"/>
  <c r="F14" i="5" s="1"/>
  <c r="H14" i="5" s="1"/>
  <c r="E15" i="5"/>
  <c r="E16" i="5"/>
  <c r="F16" i="5" s="1"/>
  <c r="H16" i="5" s="1"/>
  <c r="E17" i="5"/>
  <c r="E18" i="5"/>
  <c r="E19" i="5"/>
  <c r="F19" i="5" s="1"/>
  <c r="H19" i="5" s="1"/>
  <c r="E20" i="5"/>
  <c r="E21" i="5"/>
  <c r="F21" i="5" s="1"/>
  <c r="H21" i="5" s="1"/>
  <c r="E22" i="5"/>
  <c r="F22" i="5" s="1"/>
  <c r="H22" i="5" s="1"/>
  <c r="E23" i="5"/>
  <c r="F23" i="5" s="1"/>
  <c r="H23" i="5" s="1"/>
  <c r="E24" i="5"/>
  <c r="F24" i="5" s="1"/>
  <c r="H24" i="5" s="1"/>
  <c r="E25" i="5"/>
  <c r="F25" i="5" s="1"/>
  <c r="H25" i="5" s="1"/>
  <c r="E26" i="5"/>
  <c r="F26" i="5" s="1"/>
  <c r="H26" i="5" s="1"/>
  <c r="E30" i="5"/>
  <c r="E31" i="5"/>
  <c r="E32" i="5"/>
  <c r="E33" i="5"/>
  <c r="E34" i="5"/>
  <c r="E35" i="5"/>
  <c r="E36" i="5"/>
  <c r="E37" i="5"/>
  <c r="E38" i="5"/>
  <c r="E39" i="5"/>
  <c r="E40" i="5"/>
  <c r="E41" i="5"/>
  <c r="E3" i="5"/>
  <c r="F3" i="5" s="1"/>
  <c r="H3" i="5" s="1"/>
  <c r="F15" i="5"/>
  <c r="H15" i="5" s="1"/>
  <c r="F17" i="5"/>
  <c r="H17" i="5" s="1"/>
  <c r="F18" i="5"/>
  <c r="H18" i="5" s="1"/>
  <c r="F20" i="5"/>
  <c r="H20" i="5" s="1"/>
  <c r="F31" i="5"/>
  <c r="F32" i="5"/>
  <c r="F39" i="5"/>
  <c r="F40" i="5"/>
  <c r="F41" i="5"/>
  <c r="F33" i="5"/>
  <c r="F34" i="5"/>
  <c r="F35" i="5"/>
  <c r="F36" i="5"/>
  <c r="F37" i="5"/>
  <c r="F38" i="5"/>
  <c r="R18" i="5" l="1"/>
  <c r="L7" i="5" s="1"/>
  <c r="R21" i="5"/>
  <c r="L10" i="5" s="1"/>
  <c r="R17" i="5"/>
  <c r="L6" i="5" s="1"/>
  <c r="R25" i="5"/>
  <c r="R22" i="5" l="1"/>
  <c r="L11" i="5" s="1"/>
  <c r="R26" i="5" l="1"/>
  <c r="L13" i="5" s="1"/>
</calcChain>
</file>

<file path=xl/sharedStrings.xml><?xml version="1.0" encoding="utf-8"?>
<sst xmlns="http://schemas.openxmlformats.org/spreadsheetml/2006/main" count="55" uniqueCount="53">
  <si>
    <t>記　号</t>
  </si>
  <si>
    <t>径</t>
  </si>
  <si>
    <t>長　さ</t>
  </si>
  <si>
    <t>単位重量</t>
  </si>
  <si>
    <t>本　数</t>
  </si>
  <si>
    <t>備　考</t>
  </si>
  <si>
    <t>合　計</t>
  </si>
  <si>
    <t>Ｄ13</t>
    <phoneticPr fontId="1"/>
  </si>
  <si>
    <t>Ｄ16</t>
    <phoneticPr fontId="1"/>
  </si>
  <si>
    <t>Ｄ19</t>
    <phoneticPr fontId="1"/>
  </si>
  <si>
    <t>Ｄ22</t>
    <phoneticPr fontId="1"/>
  </si>
  <si>
    <t>Ｄ25</t>
    <phoneticPr fontId="1"/>
  </si>
  <si>
    <t>Ｄ29</t>
    <phoneticPr fontId="1"/>
  </si>
  <si>
    <t>Ｄ13</t>
    <phoneticPr fontId="1"/>
  </si>
  <si>
    <t>Ｄ16</t>
    <phoneticPr fontId="1"/>
  </si>
  <si>
    <t>Ｄ19</t>
    <phoneticPr fontId="1"/>
  </si>
  <si>
    <t>Ｄ22</t>
    <phoneticPr fontId="1"/>
  </si>
  <si>
    <t>Ｄ25</t>
    <phoneticPr fontId="1"/>
  </si>
  <si>
    <t>Ｄ29</t>
    <phoneticPr fontId="1"/>
  </si>
  <si>
    <t>鉄筋質量集計表</t>
    <phoneticPr fontId="1"/>
  </si>
  <si>
    <t>鉄筋質量小計(1)</t>
    <rPh sb="2" eb="3">
      <t>シツ</t>
    </rPh>
    <rPh sb="4" eb="5">
      <t>ショウ</t>
    </rPh>
    <phoneticPr fontId="1"/>
  </si>
  <si>
    <t>単位質量</t>
    <rPh sb="2" eb="3">
      <t>シツ</t>
    </rPh>
    <phoneticPr fontId="1"/>
  </si>
  <si>
    <t>1本当質量</t>
    <rPh sb="3" eb="4">
      <t>シツ</t>
    </rPh>
    <phoneticPr fontId="1"/>
  </si>
  <si>
    <t>質　量</t>
    <rPh sb="0" eb="1">
      <t>シツ</t>
    </rPh>
    <phoneticPr fontId="1"/>
  </si>
  <si>
    <t>D32</t>
    <phoneticPr fontId="1"/>
  </si>
  <si>
    <t>Ｄ16～Ｄ25</t>
    <phoneticPr fontId="1"/>
  </si>
  <si>
    <t>Ｄ16～Ｄ25</t>
    <phoneticPr fontId="1"/>
  </si>
  <si>
    <t>Ｄ29～Ｄ32</t>
    <phoneticPr fontId="1"/>
  </si>
  <si>
    <t>W3</t>
  </si>
  <si>
    <t>W4</t>
  </si>
  <si>
    <t>F3</t>
  </si>
  <si>
    <t>F4</t>
  </si>
  <si>
    <t>F1</t>
    <phoneticPr fontId="1"/>
  </si>
  <si>
    <t>F2</t>
    <phoneticPr fontId="1"/>
  </si>
  <si>
    <t>Fo1</t>
    <phoneticPr fontId="1"/>
  </si>
  <si>
    <t>Fo2</t>
    <phoneticPr fontId="1"/>
  </si>
  <si>
    <t>W1</t>
    <phoneticPr fontId="1"/>
  </si>
  <si>
    <t>W8</t>
  </si>
  <si>
    <t>Wo1</t>
    <phoneticPr fontId="1"/>
  </si>
  <si>
    <t>Fo3</t>
    <phoneticPr fontId="1"/>
  </si>
  <si>
    <t>W2</t>
  </si>
  <si>
    <t>W6</t>
    <phoneticPr fontId="1"/>
  </si>
  <si>
    <t>W7</t>
    <phoneticPr fontId="1"/>
  </si>
  <si>
    <t>W9</t>
  </si>
  <si>
    <t>W10</t>
  </si>
  <si>
    <t>S1</t>
    <phoneticPr fontId="1"/>
  </si>
  <si>
    <t>S2</t>
    <phoneticPr fontId="1"/>
  </si>
  <si>
    <t>S3</t>
    <phoneticPr fontId="1"/>
  </si>
  <si>
    <t>So1</t>
    <phoneticPr fontId="1"/>
  </si>
  <si>
    <t>So2</t>
    <phoneticPr fontId="1"/>
  </si>
  <si>
    <t>川裏翼壁鉄筋質量集計表</t>
    <rPh sb="0" eb="2">
      <t>カワウラ</t>
    </rPh>
    <rPh sb="2" eb="4">
      <t>ヨクヘキ</t>
    </rPh>
    <rPh sb="4" eb="6">
      <t>テッキン</t>
    </rPh>
    <phoneticPr fontId="1"/>
  </si>
  <si>
    <t>F5</t>
    <phoneticPr fontId="1"/>
  </si>
  <si>
    <t>W5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</si>
</sst>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D&quot;0"/>
    <numFmt numFmtId="177" formatCode="0.0"/>
    <numFmt numFmtId="178" formatCode="0.000"/>
    <numFmt numFmtId="179" formatCode="0&quot;kg&quot;"/>
    <numFmt numFmtId="180" formatCode="0.0&quot;kg&quot;"/>
    <numFmt numFmtId="181" formatCode="0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 applyProtection="1">
      <alignment horizontal="center" vertical="center"/>
      <protection locked="0"/>
    </xf>
    <xf numFmtId="176" fontId="2" fillId="0" borderId="8" xfId="0" applyNumberFormat="1" applyFont="1" applyBorder="1" applyAlignment="1" applyProtection="1">
      <alignment horizontal="center"/>
      <protection locked="0"/>
    </xf>
    <xf numFmtId="2" fontId="2" fillId="0" borderId="9" xfId="0" applyNumberFormat="1" applyFont="1" applyBorder="1" applyAlignment="1" applyProtection="1">
      <alignment horizontal="center" vertical="center"/>
      <protection locked="0"/>
    </xf>
    <xf numFmtId="178" fontId="2" fillId="0" borderId="9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/>
    <xf numFmtId="0" fontId="2" fillId="0" borderId="11" xfId="0" applyFont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/>
    <xf numFmtId="176" fontId="2" fillId="0" borderId="14" xfId="0" applyNumberFormat="1" applyFont="1" applyBorder="1" applyAlignment="1" applyProtection="1">
      <alignment horizontal="center"/>
      <protection locked="0"/>
    </xf>
    <xf numFmtId="2" fontId="2" fillId="0" borderId="14" xfId="0" applyNumberFormat="1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/>
    <xf numFmtId="0" fontId="2" fillId="2" borderId="16" xfId="0" applyFont="1" applyFill="1" applyBorder="1" applyAlignment="1">
      <alignment horizontal="center"/>
    </xf>
    <xf numFmtId="178" fontId="2" fillId="2" borderId="17" xfId="0" applyNumberFormat="1" applyFont="1" applyFill="1" applyBorder="1"/>
    <xf numFmtId="176" fontId="2" fillId="0" borderId="9" xfId="0" applyNumberFormat="1" applyFont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80" fontId="2" fillId="2" borderId="21" xfId="0" applyNumberFormat="1" applyFon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center" vertical="center"/>
    </xf>
    <xf numFmtId="177" fontId="2" fillId="2" borderId="23" xfId="0" applyNumberFormat="1" applyFont="1" applyFill="1" applyBorder="1" applyAlignment="1">
      <alignment horizontal="right" vertical="center"/>
    </xf>
    <xf numFmtId="177" fontId="2" fillId="2" borderId="0" xfId="0" applyNumberFormat="1" applyFont="1" applyFill="1" applyAlignment="1">
      <alignment horizontal="right" vertical="center"/>
    </xf>
    <xf numFmtId="0" fontId="2" fillId="2" borderId="20" xfId="0" applyFont="1" applyFill="1" applyBorder="1" applyAlignment="1">
      <alignment horizontal="center" vertical="center"/>
    </xf>
    <xf numFmtId="180" fontId="2" fillId="2" borderId="26" xfId="0" applyNumberFormat="1" applyFont="1" applyFill="1" applyBorder="1" applyAlignment="1">
      <alignment horizontal="right"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28" xfId="0" applyFont="1" applyBorder="1" applyAlignment="1" applyProtection="1">
      <alignment horizontal="center" vertical="center"/>
      <protection locked="0"/>
    </xf>
    <xf numFmtId="176" fontId="2" fillId="0" borderId="29" xfId="0" applyNumberFormat="1" applyFont="1" applyBorder="1" applyAlignment="1" applyProtection="1">
      <alignment horizontal="center"/>
      <protection locked="0"/>
    </xf>
    <xf numFmtId="2" fontId="2" fillId="0" borderId="29" xfId="0" applyNumberFormat="1" applyFont="1" applyBorder="1" applyAlignment="1" applyProtection="1">
      <alignment horizontal="center" vertical="center"/>
      <protection locked="0"/>
    </xf>
    <xf numFmtId="178" fontId="2" fillId="0" borderId="29" xfId="0" applyNumberFormat="1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0" fontId="2" fillId="0" borderId="29" xfId="0" applyFont="1" applyBorder="1" applyAlignment="1" applyProtection="1">
      <alignment horizontal="center" vertical="center"/>
      <protection locked="0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2" borderId="34" xfId="0" applyFont="1" applyFill="1" applyBorder="1" applyAlignment="1">
      <alignment horizontal="center"/>
    </xf>
    <xf numFmtId="178" fontId="2" fillId="2" borderId="35" xfId="0" applyNumberFormat="1" applyFont="1" applyFill="1" applyBorder="1"/>
    <xf numFmtId="0" fontId="2" fillId="2" borderId="36" xfId="0" applyFont="1" applyFill="1" applyBorder="1" applyAlignment="1">
      <alignment horizontal="center"/>
    </xf>
    <xf numFmtId="178" fontId="2" fillId="2" borderId="37" xfId="0" applyNumberFormat="1" applyFont="1" applyFill="1" applyBorder="1"/>
    <xf numFmtId="180" fontId="2" fillId="2" borderId="22" xfId="0" applyNumberFormat="1" applyFont="1" applyFill="1" applyBorder="1" applyAlignment="1">
      <alignment horizontal="right" vertical="center"/>
    </xf>
    <xf numFmtId="177" fontId="2" fillId="2" borderId="24" xfId="0" applyNumberFormat="1" applyFont="1" applyFill="1" applyBorder="1" applyAlignment="1">
      <alignment horizontal="right" vertical="center"/>
    </xf>
    <xf numFmtId="177" fontId="2" fillId="2" borderId="25" xfId="0" applyNumberFormat="1" applyFont="1" applyFill="1" applyBorder="1" applyAlignment="1">
      <alignment horizontal="right" vertical="center"/>
    </xf>
    <xf numFmtId="180" fontId="2" fillId="2" borderId="27" xfId="0" applyNumberFormat="1" applyFont="1" applyFill="1" applyBorder="1" applyAlignment="1">
      <alignment horizontal="right" vertical="center"/>
    </xf>
    <xf numFmtId="181" fontId="2" fillId="0" borderId="38" xfId="0" applyNumberFormat="1" applyFont="1" applyBorder="1" applyAlignment="1">
      <alignment horizontal="center" vertical="center"/>
    </xf>
    <xf numFmtId="181" fontId="2" fillId="0" borderId="29" xfId="0" applyNumberFormat="1" applyFont="1" applyBorder="1" applyAlignment="1">
      <alignment horizontal="center" vertical="center"/>
    </xf>
    <xf numFmtId="179" fontId="2" fillId="0" borderId="0" xfId="0" applyNumberFormat="1" applyFont="1" applyAlignment="1">
      <alignment horizontal="right" vertical="center"/>
    </xf>
    <xf numFmtId="179" fontId="2" fillId="0" borderId="25" xfId="0" applyNumberFormat="1" applyFont="1" applyBorder="1" applyAlignment="1">
      <alignment horizontal="right" vertical="center"/>
    </xf>
    <xf numFmtId="179" fontId="2" fillId="0" borderId="26" xfId="0" applyNumberFormat="1" applyFont="1" applyBorder="1" applyAlignment="1">
      <alignment horizontal="right" vertical="center"/>
    </xf>
    <xf numFmtId="179" fontId="2" fillId="0" borderId="27" xfId="0" applyNumberFormat="1" applyFont="1" applyBorder="1" applyAlignment="1">
      <alignment horizontal="right" vertical="center"/>
    </xf>
    <xf numFmtId="179" fontId="2" fillId="0" borderId="21" xfId="0" applyNumberFormat="1" applyFont="1" applyBorder="1" applyAlignment="1">
      <alignment horizontal="right" vertical="center"/>
    </xf>
    <xf numFmtId="179" fontId="2" fillId="0" borderId="2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textRotation="255"/>
    </xf>
    <xf numFmtId="179" fontId="2" fillId="0" borderId="23" xfId="0" applyNumberFormat="1" applyFont="1" applyBorder="1" applyAlignment="1">
      <alignment horizontal="right" vertical="center"/>
    </xf>
    <xf numFmtId="179" fontId="2" fillId="0" borderId="24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zoomScaleNormal="75" workbookViewId="0">
      <selection activeCell="D29" sqref="D29"/>
    </sheetView>
  </sheetViews>
  <sheetFormatPr defaultColWidth="9" defaultRowHeight="12" x14ac:dyDescent="0.15"/>
  <cols>
    <col min="1" max="1" width="5.625" style="1" customWidth="1"/>
    <col min="2" max="3" width="8.625" style="1" customWidth="1"/>
    <col min="4" max="5" width="9.625" style="1" customWidth="1"/>
    <col min="6" max="6" width="10.625" style="1" customWidth="1"/>
    <col min="7" max="7" width="6.625" style="1" customWidth="1"/>
    <col min="8" max="8" width="10.625" style="1" customWidth="1"/>
    <col min="9" max="12" width="9" style="1"/>
    <col min="13" max="13" width="4.125" style="1" customWidth="1"/>
    <col min="14" max="16384" width="9" style="1"/>
  </cols>
  <sheetData>
    <row r="1" spans="2:17" ht="15" customHeight="1" thickBot="1" x14ac:dyDescent="0.2">
      <c r="B1" s="48" t="s">
        <v>50</v>
      </c>
    </row>
    <row r="2" spans="2:17" ht="15" customHeight="1" thickBot="1" x14ac:dyDescent="0.2">
      <c r="B2" s="2" t="s">
        <v>0</v>
      </c>
      <c r="C2" s="3" t="s">
        <v>1</v>
      </c>
      <c r="D2" s="3" t="s">
        <v>2</v>
      </c>
      <c r="E2" s="3" t="s">
        <v>21</v>
      </c>
      <c r="F2" s="3" t="s">
        <v>22</v>
      </c>
      <c r="G2" s="3" t="s">
        <v>4</v>
      </c>
      <c r="H2" s="4" t="s">
        <v>23</v>
      </c>
      <c r="I2" s="5" t="s">
        <v>5</v>
      </c>
      <c r="J2" s="6"/>
      <c r="K2" s="6"/>
      <c r="L2" s="6"/>
      <c r="M2" s="6"/>
      <c r="N2" s="7"/>
    </row>
    <row r="3" spans="2:17" ht="12" customHeight="1" x14ac:dyDescent="0.15">
      <c r="B3" s="8" t="s">
        <v>32</v>
      </c>
      <c r="C3" s="9">
        <v>25</v>
      </c>
      <c r="D3" s="10">
        <v>4.92</v>
      </c>
      <c r="E3" s="11">
        <f>IF(C3&lt;&gt;0,VLOOKUP(C3,$P$4:$Q$10,2,0),"")</f>
        <v>3.98</v>
      </c>
      <c r="F3" s="12">
        <f>IF($D3="","",ROUND(PRODUCT($D3,$E3),2))</f>
        <v>19.579999999999998</v>
      </c>
      <c r="G3" s="13">
        <v>33</v>
      </c>
      <c r="H3" s="57">
        <f>IF($G3="","",ROUND(PRODUCT($G3,$F3),0))</f>
        <v>646</v>
      </c>
      <c r="I3" s="14"/>
      <c r="N3" s="15"/>
      <c r="P3" s="16" t="s">
        <v>1</v>
      </c>
      <c r="Q3" s="17" t="s">
        <v>3</v>
      </c>
    </row>
    <row r="4" spans="2:17" ht="12" customHeight="1" x14ac:dyDescent="0.15">
      <c r="B4" s="8" t="s">
        <v>33</v>
      </c>
      <c r="C4" s="18">
        <v>13</v>
      </c>
      <c r="D4" s="19">
        <v>2.74</v>
      </c>
      <c r="E4" s="11">
        <f t="shared" ref="E4:E41" si="0">IF(C4&lt;&gt;0,VLOOKUP(C4,$P$4:$Q$10,2,0),"")</f>
        <v>0.995</v>
      </c>
      <c r="F4" s="12">
        <f t="shared" ref="F4:F41" si="1">IF($D4="","",ROUND(PRODUCT($D4,$E4),2))</f>
        <v>2.73</v>
      </c>
      <c r="G4" s="20">
        <v>16</v>
      </c>
      <c r="H4" s="57">
        <f>IF($G4="","",ROUND(PRODUCT($G4,$F4),0))</f>
        <v>44</v>
      </c>
      <c r="I4" s="21"/>
      <c r="N4" s="15"/>
      <c r="P4" s="22">
        <v>13</v>
      </c>
      <c r="Q4" s="23">
        <v>0.995</v>
      </c>
    </row>
    <row r="5" spans="2:17" ht="12" customHeight="1" x14ac:dyDescent="0.15">
      <c r="B5" s="8" t="s">
        <v>30</v>
      </c>
      <c r="C5" s="24">
        <v>13</v>
      </c>
      <c r="D5" s="19">
        <v>1.56</v>
      </c>
      <c r="E5" s="11">
        <f t="shared" si="0"/>
        <v>0.995</v>
      </c>
      <c r="F5" s="12">
        <f t="shared" si="1"/>
        <v>1.55</v>
      </c>
      <c r="G5" s="20">
        <v>49</v>
      </c>
      <c r="H5" s="57">
        <f t="shared" ref="H5:H41" si="2">IF($G5="","",ROUND(PRODUCT($G5,$F5),0))</f>
        <v>76</v>
      </c>
      <c r="I5" s="21"/>
      <c r="K5" s="47" t="s">
        <v>19</v>
      </c>
      <c r="N5" s="15"/>
      <c r="P5" s="22">
        <v>16</v>
      </c>
      <c r="Q5" s="23">
        <v>1.56</v>
      </c>
    </row>
    <row r="6" spans="2:17" ht="12" customHeight="1" x14ac:dyDescent="0.15">
      <c r="B6" s="8" t="s">
        <v>31</v>
      </c>
      <c r="C6" s="18">
        <v>13</v>
      </c>
      <c r="D6" s="19">
        <v>0.8</v>
      </c>
      <c r="E6" s="11">
        <f t="shared" si="0"/>
        <v>0.995</v>
      </c>
      <c r="F6" s="12">
        <f t="shared" si="1"/>
        <v>0.8</v>
      </c>
      <c r="G6" s="20">
        <v>94</v>
      </c>
      <c r="H6" s="57">
        <f t="shared" si="2"/>
        <v>75</v>
      </c>
      <c r="I6" s="21"/>
      <c r="K6" s="25" t="s">
        <v>7</v>
      </c>
      <c r="L6" s="63">
        <f>R17</f>
        <v>1034</v>
      </c>
      <c r="M6" s="64"/>
      <c r="N6" s="15"/>
      <c r="P6" s="22">
        <v>19</v>
      </c>
      <c r="Q6" s="23">
        <v>2.25</v>
      </c>
    </row>
    <row r="7" spans="2:17" ht="12" customHeight="1" x14ac:dyDescent="0.15">
      <c r="B7" s="8" t="s">
        <v>51</v>
      </c>
      <c r="C7" s="18">
        <v>13</v>
      </c>
      <c r="D7" s="19">
        <v>11.85</v>
      </c>
      <c r="E7" s="11">
        <f t="shared" si="0"/>
        <v>0.995</v>
      </c>
      <c r="F7" s="12">
        <f t="shared" si="1"/>
        <v>11.79</v>
      </c>
      <c r="G7" s="20">
        <v>16</v>
      </c>
      <c r="H7" s="57">
        <f t="shared" si="2"/>
        <v>189</v>
      </c>
      <c r="I7" s="21"/>
      <c r="K7" s="26" t="s">
        <v>8</v>
      </c>
      <c r="L7" s="66">
        <f t="shared" ref="L7:L12" si="3">R18</f>
        <v>0</v>
      </c>
      <c r="M7" s="67"/>
      <c r="N7" s="15"/>
      <c r="P7" s="22">
        <v>22</v>
      </c>
      <c r="Q7" s="23">
        <v>3.04</v>
      </c>
    </row>
    <row r="8" spans="2:17" ht="12" customHeight="1" x14ac:dyDescent="0.15">
      <c r="B8" s="8" t="s">
        <v>34</v>
      </c>
      <c r="C8" s="18">
        <v>13</v>
      </c>
      <c r="D8" s="19">
        <v>0.82</v>
      </c>
      <c r="E8" s="11">
        <f>IF(C8&lt;&gt;0,VLOOKUP(C8,$P$4:$Q$10,2,0),"")</f>
        <v>0.995</v>
      </c>
      <c r="F8" s="12">
        <f>IF($D8="","",ROUND(PRODUCT($D8,$E8),2))</f>
        <v>0.82</v>
      </c>
      <c r="G8" s="20">
        <v>33</v>
      </c>
      <c r="H8" s="57">
        <f>IF($G8="","",ROUND(PRODUCT($G8,$F8),0))</f>
        <v>27</v>
      </c>
      <c r="I8" s="21"/>
      <c r="K8" s="26" t="s">
        <v>9</v>
      </c>
      <c r="L8" s="59">
        <f t="shared" si="3"/>
        <v>0</v>
      </c>
      <c r="M8" s="60"/>
      <c r="N8" s="15"/>
      <c r="P8" s="22">
        <v>25</v>
      </c>
      <c r="Q8" s="23">
        <v>3.98</v>
      </c>
    </row>
    <row r="9" spans="2:17" ht="12" customHeight="1" x14ac:dyDescent="0.15">
      <c r="B9" s="8" t="s">
        <v>35</v>
      </c>
      <c r="C9" s="18">
        <v>13</v>
      </c>
      <c r="D9" s="19">
        <v>0.79</v>
      </c>
      <c r="E9" s="11">
        <f>IF(C9&lt;&gt;0,VLOOKUP(C9,$P$4:$Q$10,2,0),"")</f>
        <v>0.995</v>
      </c>
      <c r="F9" s="12">
        <f>IF($D9="","",ROUND(PRODUCT($D9,$E9),2))</f>
        <v>0.79</v>
      </c>
      <c r="G9" s="20">
        <v>12</v>
      </c>
      <c r="H9" s="57">
        <f>IF($G9="","",ROUND(PRODUCT($G9,$F9),0))</f>
        <v>9</v>
      </c>
      <c r="I9" s="21"/>
      <c r="K9" s="26" t="s">
        <v>10</v>
      </c>
      <c r="L9" s="59">
        <f t="shared" si="3"/>
        <v>0</v>
      </c>
      <c r="M9" s="60"/>
      <c r="N9" s="15"/>
      <c r="P9" s="49">
        <v>29</v>
      </c>
      <c r="Q9" s="50">
        <v>5.04</v>
      </c>
    </row>
    <row r="10" spans="2:17" ht="12" customHeight="1" thickBot="1" x14ac:dyDescent="0.2">
      <c r="B10" s="8" t="s">
        <v>39</v>
      </c>
      <c r="C10" s="18">
        <v>13</v>
      </c>
      <c r="D10" s="19">
        <v>0.78</v>
      </c>
      <c r="E10" s="11">
        <f>IF(C10&lt;&gt;0,VLOOKUP(C10,$P$4:$Q$10,2,0),"")</f>
        <v>0.995</v>
      </c>
      <c r="F10" s="12">
        <f>IF($D10="","",ROUND(PRODUCT($D10,$E10),2))</f>
        <v>0.78</v>
      </c>
      <c r="G10" s="20">
        <v>1</v>
      </c>
      <c r="H10" s="57">
        <f>IF($G10="","",ROUND(PRODUCT($G10,$F10),0))</f>
        <v>1</v>
      </c>
      <c r="I10" s="21"/>
      <c r="K10" s="26" t="s">
        <v>11</v>
      </c>
      <c r="L10" s="61">
        <f t="shared" si="3"/>
        <v>646</v>
      </c>
      <c r="M10" s="62"/>
      <c r="N10" s="15"/>
      <c r="P10" s="51">
        <v>32</v>
      </c>
      <c r="Q10" s="52">
        <v>6.23</v>
      </c>
    </row>
    <row r="11" spans="2:17" ht="12" customHeight="1" x14ac:dyDescent="0.15">
      <c r="B11" s="8" t="s">
        <v>36</v>
      </c>
      <c r="C11" s="18">
        <v>13</v>
      </c>
      <c r="D11" s="19">
        <v>1.8</v>
      </c>
      <c r="E11" s="11">
        <f>IF(C11&lt;&gt;0,VLOOKUP(C11,$P$4:$Q$10,2,0),"")</f>
        <v>0.995</v>
      </c>
      <c r="F11" s="12">
        <f>IF($D11="","",ROUND(PRODUCT($D11,$E11),2))</f>
        <v>1.79</v>
      </c>
      <c r="G11" s="20">
        <v>66</v>
      </c>
      <c r="H11" s="57">
        <f>IF($G11="","",ROUND(PRODUCT($G11,$F11),0))</f>
        <v>118</v>
      </c>
      <c r="I11" s="21"/>
      <c r="K11" s="25" t="s">
        <v>26</v>
      </c>
      <c r="L11" s="63">
        <f t="shared" si="3"/>
        <v>646</v>
      </c>
      <c r="M11" s="64"/>
      <c r="N11" s="15"/>
    </row>
    <row r="12" spans="2:17" ht="12" customHeight="1" x14ac:dyDescent="0.15">
      <c r="B12" s="8" t="s">
        <v>40</v>
      </c>
      <c r="C12" s="18">
        <v>13</v>
      </c>
      <c r="D12" s="19">
        <v>0.65</v>
      </c>
      <c r="E12" s="11">
        <f>IF(C12&lt;&gt;0,VLOOKUP(C12,$P$4:$Q$10,2,0),"")</f>
        <v>0.995</v>
      </c>
      <c r="F12" s="12">
        <f>IF($D12="","",ROUND(PRODUCT($D12,$E12),2))</f>
        <v>0.65</v>
      </c>
      <c r="G12" s="20">
        <v>32</v>
      </c>
      <c r="H12" s="57">
        <f>IF($G12="","",ROUND(PRODUCT($G12,$F12),0))</f>
        <v>21</v>
      </c>
      <c r="I12" s="21"/>
      <c r="K12" s="27" t="s">
        <v>12</v>
      </c>
      <c r="L12" s="63">
        <f t="shared" si="3"/>
        <v>0</v>
      </c>
      <c r="M12" s="64"/>
      <c r="N12" s="15"/>
    </row>
    <row r="13" spans="2:17" ht="12" customHeight="1" x14ac:dyDescent="0.15">
      <c r="B13" s="8" t="s">
        <v>28</v>
      </c>
      <c r="C13" s="18">
        <v>13</v>
      </c>
      <c r="D13" s="19">
        <v>0.55000000000000004</v>
      </c>
      <c r="E13" s="11">
        <f>IF(C13&lt;&gt;0,VLOOKUP(C13,$P$4:$Q$10,2,0),"")</f>
        <v>0.995</v>
      </c>
      <c r="F13" s="12">
        <f>IF($D13="","",ROUND(PRODUCT($D13,$E13),2))</f>
        <v>0.55000000000000004</v>
      </c>
      <c r="G13" s="20">
        <v>98</v>
      </c>
      <c r="H13" s="57">
        <f>IF($G13="","",ROUND(PRODUCT($G13,$F13),0))</f>
        <v>54</v>
      </c>
      <c r="I13" s="21"/>
      <c r="K13" s="25" t="s">
        <v>6</v>
      </c>
      <c r="L13" s="63">
        <f>R26</f>
        <v>1680</v>
      </c>
      <c r="M13" s="64"/>
      <c r="N13" s="15"/>
    </row>
    <row r="14" spans="2:17" ht="12" customHeight="1" x14ac:dyDescent="0.15">
      <c r="B14" s="8" t="s">
        <v>29</v>
      </c>
      <c r="C14" s="18">
        <v>13</v>
      </c>
      <c r="D14" s="19">
        <v>4.32</v>
      </c>
      <c r="E14" s="11">
        <f>IF(C14&lt;&gt;0,VLOOKUP(C14,$P$4:$Q$10,2,0),"")</f>
        <v>0.995</v>
      </c>
      <c r="F14" s="12">
        <f>IF($D14="","",ROUND(PRODUCT($D14,$E14),2))</f>
        <v>4.3</v>
      </c>
      <c r="G14" s="20">
        <v>40</v>
      </c>
      <c r="H14" s="57">
        <f>IF($G14="","",ROUND(PRODUCT($G14,$F14),0))</f>
        <v>172</v>
      </c>
      <c r="I14" s="21"/>
      <c r="N14" s="15"/>
    </row>
    <row r="15" spans="2:17" ht="12" customHeight="1" x14ac:dyDescent="0.15">
      <c r="B15" s="8" t="s">
        <v>52</v>
      </c>
      <c r="C15" s="18">
        <v>13</v>
      </c>
      <c r="D15" s="19">
        <v>11.85</v>
      </c>
      <c r="E15" s="11">
        <f>IF(C15&lt;&gt;0,VLOOKUP(C15,$P$4:$Q$10,2,0),"")</f>
        <v>0.995</v>
      </c>
      <c r="F15" s="12">
        <f>IF($D15="","",ROUND(PRODUCT($D15,$E15),2))</f>
        <v>11.79</v>
      </c>
      <c r="G15" s="20">
        <v>4</v>
      </c>
      <c r="H15" s="57">
        <f>IF($G15="","",ROUND(PRODUCT($G15,$F15),0))</f>
        <v>47</v>
      </c>
      <c r="I15" s="21"/>
      <c r="N15" s="15"/>
    </row>
    <row r="16" spans="2:17" ht="12" customHeight="1" x14ac:dyDescent="0.15">
      <c r="B16" s="8" t="s">
        <v>41</v>
      </c>
      <c r="C16" s="18">
        <v>13</v>
      </c>
      <c r="D16" s="19">
        <v>4.25</v>
      </c>
      <c r="E16" s="11">
        <f>IF(C16&lt;&gt;0,VLOOKUP(C16,$P$4:$Q$10,2,0),"")</f>
        <v>0.995</v>
      </c>
      <c r="F16" s="12">
        <f>IF($D16="","",ROUND(PRODUCT($D16,$E16),2))</f>
        <v>4.2300000000000004</v>
      </c>
      <c r="G16" s="20">
        <v>8</v>
      </c>
      <c r="H16" s="57">
        <f>IF($G16="","",ROUND(PRODUCT($G16,$F16),0))</f>
        <v>34</v>
      </c>
      <c r="I16" s="21"/>
      <c r="N16" s="15"/>
      <c r="P16" s="1" t="s">
        <v>20</v>
      </c>
    </row>
    <row r="17" spans="2:18" ht="12" customHeight="1" x14ac:dyDescent="0.15">
      <c r="B17" s="8" t="s">
        <v>42</v>
      </c>
      <c r="C17" s="18">
        <v>13</v>
      </c>
      <c r="D17" s="19">
        <v>8.75</v>
      </c>
      <c r="E17" s="11">
        <f>IF(C17&lt;&gt;0,VLOOKUP(C17,$P$4:$Q$10,2,0),"")</f>
        <v>0.995</v>
      </c>
      <c r="F17" s="12">
        <f>IF($D17="","",ROUND(PRODUCT($D17,$E17),2))</f>
        <v>8.7100000000000009</v>
      </c>
      <c r="G17" s="20">
        <v>4</v>
      </c>
      <c r="H17" s="57">
        <f>IF($G17="","",ROUND(PRODUCT($G17,$F17),0))</f>
        <v>35</v>
      </c>
      <c r="I17" s="21"/>
      <c r="N17" s="15"/>
      <c r="P17" s="28" t="s">
        <v>13</v>
      </c>
      <c r="Q17" s="29"/>
      <c r="R17" s="53">
        <f>SUMIF($C$3:$C$41,"13",$H$3:$H$41)</f>
        <v>1034</v>
      </c>
    </row>
    <row r="18" spans="2:18" ht="12" customHeight="1" x14ac:dyDescent="0.15">
      <c r="B18" s="8" t="s">
        <v>37</v>
      </c>
      <c r="C18" s="18">
        <v>13</v>
      </c>
      <c r="D18" s="19">
        <v>1.04</v>
      </c>
      <c r="E18" s="11">
        <f>IF(C18&lt;&gt;0,VLOOKUP(C18,$P$4:$Q$10,2,0),"")</f>
        <v>0.995</v>
      </c>
      <c r="F18" s="12">
        <f>IF($D18="","",ROUND(PRODUCT($D18,$E18),2))</f>
        <v>1.03</v>
      </c>
      <c r="G18" s="20">
        <v>5</v>
      </c>
      <c r="H18" s="57">
        <f>IF($G18="","",ROUND(PRODUCT($G18,$F18),0))</f>
        <v>5</v>
      </c>
      <c r="I18" s="21"/>
      <c r="N18" s="15"/>
      <c r="P18" s="30" t="s">
        <v>14</v>
      </c>
      <c r="Q18" s="31"/>
      <c r="R18" s="54">
        <f>SUMIF($C$3:$C$41,"16",$H$3:$H$41)</f>
        <v>0</v>
      </c>
    </row>
    <row r="19" spans="2:18" ht="12" customHeight="1" x14ac:dyDescent="0.15">
      <c r="B19" s="8" t="s">
        <v>43</v>
      </c>
      <c r="C19" s="18">
        <v>13</v>
      </c>
      <c r="D19" s="19">
        <v>1.04</v>
      </c>
      <c r="E19" s="11">
        <f>IF(C19&lt;&gt;0,VLOOKUP(C19,$P$4:$Q$10,2,0),"")</f>
        <v>0.995</v>
      </c>
      <c r="F19" s="12">
        <f>IF($D19="","",ROUND(PRODUCT($D19,$E19),2))</f>
        <v>1.03</v>
      </c>
      <c r="G19" s="20">
        <v>5</v>
      </c>
      <c r="H19" s="57">
        <f>IF($G19="","",ROUND(PRODUCT($G19,$F19),0))</f>
        <v>5</v>
      </c>
      <c r="I19" s="21"/>
      <c r="N19" s="15"/>
      <c r="P19" s="30" t="s">
        <v>15</v>
      </c>
      <c r="Q19" s="32"/>
      <c r="R19" s="55">
        <f>SUMIF($C$3:$C$41,"19",$H$3:$H$41)</f>
        <v>0</v>
      </c>
    </row>
    <row r="20" spans="2:18" ht="11.25" customHeight="1" x14ac:dyDescent="0.15">
      <c r="B20" s="8" t="s">
        <v>44</v>
      </c>
      <c r="C20" s="18">
        <v>13</v>
      </c>
      <c r="D20" s="19">
        <v>1.56</v>
      </c>
      <c r="E20" s="11">
        <f>IF(C20&lt;&gt;0,VLOOKUP(C20,$P$4:$Q$10,2,0),"")</f>
        <v>0.995</v>
      </c>
      <c r="F20" s="12">
        <f>IF($D20="","",ROUND(PRODUCT($D20,$E20),2))</f>
        <v>1.55</v>
      </c>
      <c r="G20" s="20">
        <v>6</v>
      </c>
      <c r="H20" s="57">
        <f>IF($G20="","",ROUND(PRODUCT($G20,$F20),0))</f>
        <v>9</v>
      </c>
      <c r="I20" s="21"/>
      <c r="N20" s="15"/>
      <c r="P20" s="30" t="s">
        <v>16</v>
      </c>
      <c r="Q20" s="32"/>
      <c r="R20" s="55">
        <f>SUMIF($C$3:$C$41,"22",$H$3:$H$41)</f>
        <v>0</v>
      </c>
    </row>
    <row r="21" spans="2:18" ht="12" customHeight="1" x14ac:dyDescent="0.15">
      <c r="B21" s="8" t="s">
        <v>38</v>
      </c>
      <c r="C21" s="18">
        <v>13</v>
      </c>
      <c r="D21" s="19">
        <v>0.42</v>
      </c>
      <c r="E21" s="11">
        <f>IF(C21&lt;&gt;0,VLOOKUP(C21,$P$4:$Q$10,2,0),"")</f>
        <v>0.995</v>
      </c>
      <c r="F21" s="12">
        <f>IF($D21="","",ROUND(PRODUCT($D21,$E21),2))</f>
        <v>0.42</v>
      </c>
      <c r="G21" s="20">
        <v>41</v>
      </c>
      <c r="H21" s="57">
        <f>IF($G21="","",ROUND(PRODUCT($G21,$F21),0))</f>
        <v>17</v>
      </c>
      <c r="I21" s="21"/>
      <c r="N21" s="15"/>
      <c r="P21" s="30" t="s">
        <v>17</v>
      </c>
      <c r="Q21" s="32"/>
      <c r="R21" s="55">
        <f>SUMIF($C$3:$C$41,"25",$H$3:$H$41)</f>
        <v>646</v>
      </c>
    </row>
    <row r="22" spans="2:18" ht="12" customHeight="1" x14ac:dyDescent="0.15">
      <c r="B22" s="8" t="s">
        <v>45</v>
      </c>
      <c r="C22" s="18">
        <v>13</v>
      </c>
      <c r="D22" s="19">
        <v>0.93</v>
      </c>
      <c r="E22" s="11">
        <f>IF(C22&lt;&gt;0,VLOOKUP(C22,$P$4:$Q$10,2,0),"")</f>
        <v>0.995</v>
      </c>
      <c r="F22" s="12">
        <f>IF($D22="","",ROUND(PRODUCT($D22,$E22),2))</f>
        <v>0.93</v>
      </c>
      <c r="G22" s="20">
        <v>56</v>
      </c>
      <c r="H22" s="57">
        <f>IF($G22="","",ROUND(PRODUCT($G22,$F22),0))</f>
        <v>52</v>
      </c>
      <c r="I22" s="21"/>
      <c r="N22" s="15"/>
      <c r="P22" s="28" t="s">
        <v>25</v>
      </c>
      <c r="Q22" s="29"/>
      <c r="R22" s="53">
        <f>SUM(R18:R21)</f>
        <v>646</v>
      </c>
    </row>
    <row r="23" spans="2:18" ht="12" customHeight="1" x14ac:dyDescent="0.15">
      <c r="B23" s="8" t="s">
        <v>46</v>
      </c>
      <c r="C23" s="18">
        <v>13</v>
      </c>
      <c r="D23" s="19">
        <v>2.56</v>
      </c>
      <c r="E23" s="11">
        <f>IF(C23&lt;&gt;0,VLOOKUP(C23,$P$4:$Q$10,2,0),"")</f>
        <v>0.995</v>
      </c>
      <c r="F23" s="12">
        <f>IF($D23="","",ROUND(PRODUCT($D23,$E23),2))</f>
        <v>2.5499999999999998</v>
      </c>
      <c r="G23" s="20">
        <v>12</v>
      </c>
      <c r="H23" s="57">
        <f>IF($G23="","",ROUND(PRODUCT($G23,$F23),0))</f>
        <v>31</v>
      </c>
      <c r="I23" s="21"/>
      <c r="N23" s="15"/>
      <c r="P23" s="33" t="s">
        <v>18</v>
      </c>
      <c r="Q23" s="34"/>
      <c r="R23" s="56">
        <f>SUMIF($C$3:$C$41,"29",$H$3:$H$41)</f>
        <v>0</v>
      </c>
    </row>
    <row r="24" spans="2:18" ht="12" customHeight="1" x14ac:dyDescent="0.15">
      <c r="B24" s="8" t="s">
        <v>47</v>
      </c>
      <c r="C24" s="18">
        <v>13</v>
      </c>
      <c r="D24" s="19">
        <v>1.56</v>
      </c>
      <c r="E24" s="11">
        <f>IF(C24&lt;&gt;0,VLOOKUP(C24,$P$4:$Q$10,2,0),"")</f>
        <v>0.995</v>
      </c>
      <c r="F24" s="12">
        <f>IF($D24="","",ROUND(PRODUCT($D24,$E24),2))</f>
        <v>1.55</v>
      </c>
      <c r="G24" s="20">
        <v>6</v>
      </c>
      <c r="H24" s="57">
        <f>IF($G24="","",ROUND(PRODUCT($G24,$F24),0))</f>
        <v>9</v>
      </c>
      <c r="I24" s="21"/>
      <c r="N24" s="15"/>
      <c r="P24" s="28" t="s">
        <v>24</v>
      </c>
      <c r="Q24" s="29"/>
      <c r="R24" s="56">
        <f>SUMIF($C$3:$C$41,"32",$H$3:$H$41)</f>
        <v>0</v>
      </c>
    </row>
    <row r="25" spans="2:18" ht="12" customHeight="1" x14ac:dyDescent="0.15">
      <c r="B25" s="8" t="s">
        <v>48</v>
      </c>
      <c r="C25" s="18">
        <v>13</v>
      </c>
      <c r="D25" s="19">
        <v>0.59</v>
      </c>
      <c r="E25" s="11">
        <f>IF(C25&lt;&gt;0,VLOOKUP(C25,$P$4:$Q$10,2,0),"")</f>
        <v>0.995</v>
      </c>
      <c r="F25" s="12">
        <f>IF($D25="","",ROUND(PRODUCT($D25,$E25),2))</f>
        <v>0.59</v>
      </c>
      <c r="G25" s="20">
        <v>2</v>
      </c>
      <c r="H25" s="57">
        <f>IF($G25="","",ROUND(PRODUCT($G25,$F25),0))</f>
        <v>1</v>
      </c>
      <c r="I25" s="21"/>
      <c r="N25" s="15"/>
      <c r="P25" s="28" t="s">
        <v>27</v>
      </c>
      <c r="Q25" s="29"/>
      <c r="R25" s="56">
        <f>R23+R24</f>
        <v>0</v>
      </c>
    </row>
    <row r="26" spans="2:18" ht="12" customHeight="1" x14ac:dyDescent="0.15">
      <c r="B26" s="8" t="s">
        <v>49</v>
      </c>
      <c r="C26" s="18">
        <v>13</v>
      </c>
      <c r="D26" s="19">
        <v>0.39</v>
      </c>
      <c r="E26" s="11">
        <f>IF(C26&lt;&gt;0,VLOOKUP(C26,$P$4:$Q$10,2,0),"")</f>
        <v>0.995</v>
      </c>
      <c r="F26" s="12">
        <f>IF($D26="","",ROUND(PRODUCT($D26,$E26),2))</f>
        <v>0.39</v>
      </c>
      <c r="G26" s="20">
        <v>8</v>
      </c>
      <c r="H26" s="57">
        <f>IF($G26="","",ROUND(PRODUCT($G26,$F26),0))</f>
        <v>3</v>
      </c>
      <c r="I26" s="21"/>
      <c r="N26" s="15"/>
      <c r="P26" s="28" t="s">
        <v>6</v>
      </c>
      <c r="Q26" s="29"/>
      <c r="R26" s="53">
        <f>SUM(R17,R22,R23,R24)</f>
        <v>1680</v>
      </c>
    </row>
    <row r="27" spans="2:18" ht="12" customHeight="1" x14ac:dyDescent="0.15">
      <c r="B27" s="8"/>
      <c r="C27" s="18"/>
      <c r="D27" s="18"/>
      <c r="E27" s="18"/>
      <c r="F27" s="18"/>
      <c r="G27" s="18"/>
      <c r="H27" s="18"/>
      <c r="I27" s="21"/>
      <c r="N27" s="15"/>
    </row>
    <row r="28" spans="2:18" ht="12" customHeight="1" x14ac:dyDescent="0.15">
      <c r="B28" s="8"/>
      <c r="C28" s="18"/>
      <c r="D28" s="18"/>
      <c r="E28" s="18"/>
      <c r="F28" s="18"/>
      <c r="G28" s="18"/>
      <c r="H28" s="18"/>
      <c r="I28" s="21"/>
      <c r="N28" s="15"/>
    </row>
    <row r="29" spans="2:18" ht="12" customHeight="1" x14ac:dyDescent="0.15">
      <c r="B29" s="8"/>
      <c r="C29" s="18"/>
      <c r="D29" s="18"/>
      <c r="E29" s="18"/>
      <c r="F29" s="18"/>
      <c r="G29" s="18"/>
      <c r="H29" s="18"/>
      <c r="I29" s="21"/>
      <c r="N29" s="15"/>
    </row>
    <row r="30" spans="2:18" ht="12" customHeight="1" x14ac:dyDescent="0.15">
      <c r="B30" s="8"/>
      <c r="C30" s="18"/>
      <c r="D30" s="19"/>
      <c r="E30" s="18" t="str">
        <f t="shared" si="0"/>
        <v/>
      </c>
      <c r="F30" s="18"/>
      <c r="G30" s="18"/>
      <c r="H30" s="18"/>
      <c r="I30" s="21"/>
      <c r="N30" s="15"/>
    </row>
    <row r="31" spans="2:18" ht="12" customHeight="1" x14ac:dyDescent="0.15">
      <c r="B31" s="8"/>
      <c r="C31" s="18"/>
      <c r="D31" s="19"/>
      <c r="E31" s="11" t="str">
        <f t="shared" si="0"/>
        <v/>
      </c>
      <c r="F31" s="12" t="str">
        <f t="shared" si="1"/>
        <v/>
      </c>
      <c r="G31" s="20"/>
      <c r="H31" s="57" t="str">
        <f t="shared" si="2"/>
        <v/>
      </c>
      <c r="I31" s="21"/>
      <c r="N31" s="15"/>
    </row>
    <row r="32" spans="2:18" ht="12" customHeight="1" x14ac:dyDescent="0.15">
      <c r="B32" s="8"/>
      <c r="C32" s="18"/>
      <c r="D32" s="19"/>
      <c r="E32" s="11" t="str">
        <f t="shared" si="0"/>
        <v/>
      </c>
      <c r="F32" s="12" t="str">
        <f t="shared" si="1"/>
        <v/>
      </c>
      <c r="G32" s="20"/>
      <c r="H32" s="57" t="str">
        <f t="shared" si="2"/>
        <v/>
      </c>
      <c r="I32" s="21"/>
      <c r="N32" s="15"/>
    </row>
    <row r="33" spans="2:15" ht="12" customHeight="1" x14ac:dyDescent="0.15">
      <c r="B33" s="8"/>
      <c r="C33" s="18"/>
      <c r="D33" s="19"/>
      <c r="E33" s="11" t="str">
        <f t="shared" si="0"/>
        <v/>
      </c>
      <c r="F33" s="12" t="str">
        <f t="shared" si="1"/>
        <v/>
      </c>
      <c r="G33" s="20"/>
      <c r="H33" s="57" t="str">
        <f t="shared" si="2"/>
        <v/>
      </c>
      <c r="I33" s="21"/>
      <c r="N33" s="15"/>
    </row>
    <row r="34" spans="2:15" ht="12" customHeight="1" x14ac:dyDescent="0.15">
      <c r="B34" s="8"/>
      <c r="C34" s="18"/>
      <c r="D34" s="19"/>
      <c r="E34" s="11" t="str">
        <f t="shared" si="0"/>
        <v/>
      </c>
      <c r="F34" s="12" t="str">
        <f t="shared" si="1"/>
        <v/>
      </c>
      <c r="G34" s="20"/>
      <c r="H34" s="57" t="str">
        <f t="shared" si="2"/>
        <v/>
      </c>
      <c r="I34" s="21"/>
      <c r="N34" s="15"/>
    </row>
    <row r="35" spans="2:15" ht="12" customHeight="1" x14ac:dyDescent="0.15">
      <c r="B35" s="8"/>
      <c r="C35" s="18"/>
      <c r="D35" s="19"/>
      <c r="E35" s="11" t="str">
        <f t="shared" si="0"/>
        <v/>
      </c>
      <c r="F35" s="12" t="str">
        <f t="shared" si="1"/>
        <v/>
      </c>
      <c r="G35" s="20"/>
      <c r="H35" s="57" t="str">
        <f t="shared" si="2"/>
        <v/>
      </c>
      <c r="I35" s="21"/>
      <c r="N35" s="15"/>
    </row>
    <row r="36" spans="2:15" ht="12" customHeight="1" x14ac:dyDescent="0.15">
      <c r="B36" s="8"/>
      <c r="C36" s="18"/>
      <c r="D36" s="19"/>
      <c r="E36" s="11" t="str">
        <f t="shared" si="0"/>
        <v/>
      </c>
      <c r="F36" s="12" t="str">
        <f t="shared" si="1"/>
        <v/>
      </c>
      <c r="G36" s="20"/>
      <c r="H36" s="57" t="str">
        <f t="shared" si="2"/>
        <v/>
      </c>
      <c r="I36" s="21"/>
      <c r="N36" s="15"/>
    </row>
    <row r="37" spans="2:15" ht="12" customHeight="1" x14ac:dyDescent="0.15">
      <c r="B37" s="8"/>
      <c r="C37" s="18"/>
      <c r="D37" s="19"/>
      <c r="E37" s="11" t="str">
        <f t="shared" si="0"/>
        <v/>
      </c>
      <c r="F37" s="12" t="str">
        <f t="shared" si="1"/>
        <v/>
      </c>
      <c r="G37" s="20"/>
      <c r="H37" s="57" t="str">
        <f t="shared" si="2"/>
        <v/>
      </c>
      <c r="I37" s="21"/>
      <c r="N37" s="15"/>
    </row>
    <row r="38" spans="2:15" ht="12" customHeight="1" x14ac:dyDescent="0.15">
      <c r="B38" s="8"/>
      <c r="C38" s="18"/>
      <c r="D38" s="19"/>
      <c r="E38" s="11" t="str">
        <f t="shared" si="0"/>
        <v/>
      </c>
      <c r="F38" s="12" t="str">
        <f t="shared" si="1"/>
        <v/>
      </c>
      <c r="G38" s="20"/>
      <c r="H38" s="57" t="str">
        <f t="shared" si="2"/>
        <v/>
      </c>
      <c r="I38" s="21"/>
      <c r="N38" s="15"/>
    </row>
    <row r="39" spans="2:15" ht="12" customHeight="1" x14ac:dyDescent="0.15">
      <c r="B39" s="8"/>
      <c r="C39" s="18"/>
      <c r="D39" s="19"/>
      <c r="E39" s="11" t="str">
        <f t="shared" si="0"/>
        <v/>
      </c>
      <c r="F39" s="12" t="str">
        <f t="shared" si="1"/>
        <v/>
      </c>
      <c r="G39" s="20"/>
      <c r="H39" s="57" t="str">
        <f t="shared" si="2"/>
        <v/>
      </c>
      <c r="I39" s="21"/>
      <c r="N39" s="15"/>
    </row>
    <row r="40" spans="2:15" ht="12" customHeight="1" x14ac:dyDescent="0.15">
      <c r="B40" s="8"/>
      <c r="C40" s="18"/>
      <c r="D40" s="19"/>
      <c r="E40" s="11" t="str">
        <f t="shared" si="0"/>
        <v/>
      </c>
      <c r="F40" s="35" t="str">
        <f t="shared" si="1"/>
        <v/>
      </c>
      <c r="G40" s="20"/>
      <c r="H40" s="57" t="str">
        <f t="shared" si="2"/>
        <v/>
      </c>
      <c r="I40" s="21"/>
      <c r="N40" s="15"/>
    </row>
    <row r="41" spans="2:15" ht="12" customHeight="1" thickBot="1" x14ac:dyDescent="0.2">
      <c r="B41" s="36"/>
      <c r="C41" s="37"/>
      <c r="D41" s="38"/>
      <c r="E41" s="39" t="str">
        <f t="shared" si="0"/>
        <v/>
      </c>
      <c r="F41" s="40" t="str">
        <f t="shared" si="1"/>
        <v/>
      </c>
      <c r="G41" s="41"/>
      <c r="H41" s="58" t="str">
        <f t="shared" si="2"/>
        <v/>
      </c>
      <c r="I41" s="42"/>
      <c r="J41" s="43"/>
      <c r="K41" s="43"/>
      <c r="L41" s="43"/>
      <c r="M41" s="43"/>
      <c r="N41" s="44"/>
    </row>
    <row r="42" spans="2:15" ht="9.9499999999999993" customHeight="1" x14ac:dyDescent="0.15">
      <c r="L42" s="45"/>
      <c r="M42" s="65"/>
    </row>
    <row r="43" spans="2:15" ht="16.5" customHeight="1" x14ac:dyDescent="0.15">
      <c r="L43" s="45"/>
      <c r="M43" s="65"/>
      <c r="N43" s="46"/>
      <c r="O43" s="46"/>
    </row>
    <row r="44" spans="2:15" ht="28.5" customHeight="1" x14ac:dyDescent="0.15"/>
    <row r="45" spans="2:15" ht="9.9499999999999993" customHeight="1" x14ac:dyDescent="0.15"/>
    <row r="46" spans="2:15" ht="9.9499999999999993" customHeight="1" x14ac:dyDescent="0.15"/>
    <row r="47" spans="2:15" ht="9.9499999999999993" customHeight="1" x14ac:dyDescent="0.15"/>
  </sheetData>
  <mergeCells count="9">
    <mergeCell ref="L9:M9"/>
    <mergeCell ref="L10:M10"/>
    <mergeCell ref="L13:M13"/>
    <mergeCell ref="M42:M43"/>
    <mergeCell ref="L6:M6"/>
    <mergeCell ref="L11:M11"/>
    <mergeCell ref="L12:M12"/>
    <mergeCell ref="L7:M7"/>
    <mergeCell ref="L8:M8"/>
  </mergeCells>
  <phoneticPr fontId="1"/>
  <pageMargins left="0.78740157480314965" right="0" top="0.98425196850393704" bottom="0" header="0.51181102362204722" footer="0.51181102362204722"/>
  <pageSetup paperSize="9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F24BE5C0AE6754E9FE5591F5A94CE16" ma:contentTypeVersion="19" ma:contentTypeDescription="新しいドキュメントを作成します。" ma:contentTypeScope="" ma:versionID="00398cca375bb381ffa1b21387fa255b">
  <xsd:schema xmlns:xsd="http://www.w3.org/2001/XMLSchema" xmlns:xs="http://www.w3.org/2001/XMLSchema" xmlns:p="http://schemas.microsoft.com/office/2006/metadata/properties" xmlns:ns2="a1343ede-412d-490e-a863-772d72ab0083" xmlns:ns3="6d9bf656-9988-4c26-9b89-6248169d2743" targetNamespace="http://schemas.microsoft.com/office/2006/metadata/properties" ma:root="true" ma:fieldsID="a6536f697af4d5fe5195c68612b6cb77" ns2:_="" ns3:_="">
    <xsd:import namespace="a1343ede-412d-490e-a863-772d72ab0083"/>
    <xsd:import namespace="6d9bf656-9988-4c26-9b89-6248169d2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343ede-412d-490e-a863-772d72ab0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fd010018-5b22-4eb7-8d21-2656ce93a2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bf656-9988-4c26-9b89-6248169d2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b001a30-f018-40b0-951c-49b4e770f7d6}" ma:internalName="TaxCatchAll" ma:showField="CatchAllData" ma:web="6d9bf656-9988-4c26-9b89-6248169d2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1343ede-412d-490e-a863-772d72ab0083" xsi:nil="true"/>
    <TaxCatchAll xmlns="6d9bf656-9988-4c26-9b89-6248169d2743" xsi:nil="true"/>
    <lcf76f155ced4ddcb4097134ff3c332f xmlns="a1343ede-412d-490e-a863-772d72ab00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CDB640-059E-4E13-ACD3-88BCBBF8AF6E}"/>
</file>

<file path=customXml/itemProps2.xml><?xml version="1.0" encoding="utf-8"?>
<ds:datastoreItem xmlns:ds="http://schemas.openxmlformats.org/officeDocument/2006/customXml" ds:itemID="{A7F2B7F0-8244-4D9C-B2DD-235620830F17}"/>
</file>

<file path=customXml/itemProps3.xml><?xml version="1.0" encoding="utf-8"?>
<ds:datastoreItem xmlns:ds="http://schemas.openxmlformats.org/officeDocument/2006/customXml" ds:itemID="{88912475-54A3-4ABC-85C2-284179F36C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重量表</vt:lpstr>
      <vt:lpstr>重量表!Print_Area</vt:lpstr>
    </vt:vector>
  </TitlesOfParts>
  <Manager>尾形　勇</Manager>
  <Company>北斗工発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闖 芦</cp:lastModifiedBy>
  <cp:lastPrinted>2023-11-14T02:44:53Z</cp:lastPrinted>
  <dcterms:created xsi:type="dcterms:W3CDTF">1998-08-18T10:30:39Z</dcterms:created>
  <dcterms:modified xsi:type="dcterms:W3CDTF">2023-12-04T04:40:03Z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0x010100DF24BE5C0AE6754E9FE5591F5A94CE16</vt:lpwstr>
  </property>
</Properties>
</file>